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up" sheetId="2" state="visible" r:id="rId2"/>
    <sheet name="Training Log" sheetId="3" state="visible" r:id="rId3"/>
    <sheet name="Progress Dashboard" sheetId="4" state="visible" r:id="rId4"/>
    <sheet name="1RM Calculator" sheetId="5" state="visible" r:id="rId5"/>
  </sheets>
  <definedNames>
    <definedName name="Lifts">Setup!$B$10:$B$19</definedName>
    <definedName name="Units">Setup!$C$5</definedName>
    <definedName name="RoundTo">Setup!$C$6</definedName>
  </definedNames>
  <calcPr calcId="124519" fullCalcOnLoad="1"/>
</workbook>
</file>

<file path=xl/styles.xml><?xml version="1.0" encoding="utf-8"?>
<styleSheet xmlns="http://schemas.openxmlformats.org/spreadsheetml/2006/main">
  <numFmts count="4">
    <numFmt numFmtId="164" formatCode="0.0"/>
    <numFmt numFmtId="165" formatCode="0.0;-0.0;&quot;—&quot;"/>
    <numFmt numFmtId="166" formatCode="#,##0;-#,##0;&quot;—&quot;"/>
    <numFmt numFmtId="167" formatCode="0.#"/>
  </numFmts>
  <fonts count="22">
    <font>
      <name val="Calibri"/>
      <family val="2"/>
      <color theme="1"/>
      <sz val="11"/>
      <scheme val="minor"/>
    </font>
    <font>
      <name val="Arial"/>
      <b val="1"/>
      <color rgb="006B7B8D"/>
      <sz val="10"/>
    </font>
    <font>
      <name val="Georgia"/>
      <b val="1"/>
      <color rgb="002D2D2D"/>
      <sz val="22"/>
    </font>
    <font>
      <name val="Arial"/>
      <color rgb="006B7B8D"/>
      <sz val="11"/>
    </font>
    <font>
      <name val="Georgia"/>
      <b val="1"/>
      <color rgb="004A6FA5"/>
      <sz val="12"/>
    </font>
    <font>
      <name val="Arial"/>
      <color rgb="00333333"/>
      <sz val="10"/>
    </font>
    <font>
      <name val="Arial"/>
      <i val="1"/>
      <color rgb="006B7B8D"/>
      <sz val="9"/>
    </font>
    <font>
      <name val="Arial"/>
      <color rgb="006B7B8D"/>
      <sz val="9"/>
    </font>
    <font>
      <name val="Georgia"/>
      <b val="1"/>
      <color rgb="002D2D2D"/>
      <sz val="18"/>
    </font>
    <font>
      <name val="Arial"/>
      <color rgb="006B7B8D"/>
      <sz val="10"/>
    </font>
    <font>
      <name val="Arial"/>
      <b val="1"/>
      <color rgb="00333333"/>
      <sz val="10"/>
    </font>
    <font>
      <name val="Arial"/>
      <b val="1"/>
      <color rgb="002D2D2D"/>
      <sz val="10"/>
    </font>
    <font>
      <name val="Arial"/>
      <b val="1"/>
      <color rgb="00FAF8F5"/>
      <sz val="9.5"/>
    </font>
    <font>
      <name val="Arial"/>
      <b val="1"/>
      <color rgb="006B7B8D"/>
      <sz val="9"/>
    </font>
    <font>
      <name val="Arial"/>
      <b val="1"/>
      <color rgb="004A6FA5"/>
      <sz val="9"/>
    </font>
    <font>
      <name val="Arial"/>
      <b val="1"/>
      <color rgb="006B7B8D"/>
      <sz val="8.5"/>
    </font>
    <font>
      <name val="Georgia"/>
      <b val="1"/>
      <color rgb="002D2D2D"/>
      <sz val="16"/>
    </font>
    <font>
      <name val="Arial"/>
      <color rgb="002D2D2D"/>
      <sz val="10"/>
    </font>
    <font>
      <name val="Arial"/>
      <i val="1"/>
      <color rgb="006B7B8D"/>
      <sz val="8.5"/>
    </font>
    <font>
      <name val="Arial"/>
      <color rgb="006B7B8D"/>
      <sz val="8.5"/>
    </font>
    <font>
      <name val="Arial"/>
      <b val="1"/>
      <color rgb="004A6FA5"/>
      <sz val="10"/>
    </font>
    <font>
      <name val="Georgia"/>
      <b val="1"/>
      <color rgb="002D2D2D"/>
      <sz val="14"/>
    </font>
  </fonts>
  <fills count="4">
    <fill>
      <patternFill/>
    </fill>
    <fill>
      <patternFill patternType="gray125"/>
    </fill>
    <fill>
      <patternFill patternType="solid">
        <fgColor rgb="00F7F3E8"/>
        <bgColor rgb="00F7F3E8"/>
      </patternFill>
    </fill>
    <fill>
      <patternFill patternType="solid">
        <fgColor rgb="002D2D2D"/>
        <bgColor rgb="002D2D2D"/>
      </patternFill>
    </fill>
  </fills>
  <borders count="5">
    <border>
      <left/>
      <right/>
      <top/>
      <bottom/>
      <diagonal/>
    </border>
    <border>
      <bottom style="thin">
        <color rgb="004A6FA5"/>
      </bottom>
    </border>
    <border>
      <left style="thin">
        <color rgb="00E8E4DF"/>
      </left>
      <right style="thin">
        <color rgb="00E8E4DF"/>
      </right>
      <top style="thin">
        <color rgb="00E8E4DF"/>
      </top>
      <bottom style="thin">
        <color rgb="00E8E4DF"/>
      </bottom>
    </border>
    <border>
      <left style="thin">
        <color rgb="00E8E4DF"/>
      </left>
      <right style="thin">
        <color rgb="00E8E4DF"/>
      </right>
      <top style="medium">
        <color rgb="004A6FA5"/>
      </top>
      <bottom style="thin">
        <color rgb="00E8E4DF"/>
      </bottom>
    </border>
    <border>
      <left style="thin">
        <color rgb="00E8E4DF"/>
      </left>
      <right style="thin">
        <color rgb="00E8E4DF"/>
      </right>
      <top style="thin">
        <color rgb="006B7B8D"/>
      </top>
      <bottom style="thin">
        <color rgb="00E8E4DF"/>
      </bottom>
    </border>
  </borders>
  <cellStyleXfs count="1">
    <xf numFmtId="0" fontId="0" fillId="0" borderId="0"/>
  </cellStyleXfs>
  <cellXfs count="6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applyAlignment="1" pivotButton="0" quotePrefix="0" xfId="0">
      <alignment vertical="bottom"/>
    </xf>
    <xf numFmtId="0" fontId="5" fillId="0" borderId="0" applyAlignment="1" pivotButton="0" quotePrefix="0" xfId="0">
      <alignment vertical="top" wrapText="1"/>
    </xf>
    <xf numFmtId="0" fontId="6" fillId="2" borderId="2" applyAlignment="1" pivotButton="0" quotePrefix="0" xfId="0">
      <alignment horizontal="center"/>
    </xf>
    <xf numFmtId="0" fontId="6" fillId="0" borderId="2" applyAlignment="1" pivotButton="0" quotePrefix="0" xfId="0">
      <alignment horizontal="center"/>
    </xf>
    <xf numFmtId="0" fontId="7"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11" fillId="2" borderId="2" applyAlignment="1" pivotButton="0" quotePrefix="0" xfId="0">
      <alignment horizontal="center"/>
    </xf>
    <xf numFmtId="0" fontId="9" fillId="0" borderId="0" applyAlignment="1" pivotButton="0" quotePrefix="0" xfId="0">
      <alignment horizontal="center"/>
    </xf>
    <xf numFmtId="0" fontId="4" fillId="0" borderId="0" pivotButton="0" quotePrefix="0" xfId="0"/>
    <xf numFmtId="0" fontId="12" fillId="3" borderId="0" applyAlignment="1" pivotButton="0" quotePrefix="0" xfId="0">
      <alignment horizontal="center"/>
    </xf>
    <xf numFmtId="9" fontId="12" fillId="3" borderId="0" applyAlignment="1" pivotButton="0" quotePrefix="0" xfId="0">
      <alignment horizontal="center"/>
    </xf>
    <xf numFmtId="0" fontId="11" fillId="2" borderId="2" pivotButton="0" quotePrefix="0" xfId="0"/>
    <xf numFmtId="0" fontId="0" fillId="2" borderId="2" applyAlignment="1" pivotButton="0" quotePrefix="0" xfId="0">
      <alignment horizontal="center"/>
    </xf>
    <xf numFmtId="0" fontId="0" fillId="0" borderId="2" applyAlignment="1" pivotButton="0" quotePrefix="0" xfId="0">
      <alignment horizontal="center"/>
    </xf>
    <xf numFmtId="0" fontId="6" fillId="0" borderId="0" applyAlignment="1" pivotButton="0" quotePrefix="0" xfId="0">
      <alignment vertical="top" wrapText="1"/>
    </xf>
    <xf numFmtId="0" fontId="6" fillId="0" borderId="0" pivotButton="0" quotePrefix="0" xfId="0"/>
    <xf numFmtId="0" fontId="12" fillId="3" borderId="0" applyAlignment="1" pivotButton="0" quotePrefix="0" xfId="0">
      <alignment horizontal="center" vertical="center"/>
    </xf>
    <xf numFmtId="0" fontId="13" fillId="0" borderId="3" applyAlignment="1" pivotButton="0" quotePrefix="0" xfId="0">
      <alignment horizontal="center"/>
    </xf>
    <xf numFmtId="0" fontId="0" fillId="2" borderId="3" pivotButton="0" quotePrefix="0" xfId="0"/>
    <xf numFmtId="0" fontId="0" fillId="2" borderId="3" applyAlignment="1" pivotButton="0" quotePrefix="0" xfId="0">
      <alignment horizontal="center"/>
    </xf>
    <xf numFmtId="3" fontId="0" fillId="0" borderId="3" pivotButton="0" quotePrefix="0" xfId="0"/>
    <xf numFmtId="164" fontId="0" fillId="0" borderId="3" pivotButton="0" quotePrefix="0" xfId="0"/>
    <xf numFmtId="165" fontId="0" fillId="0" borderId="3" pivotButton="0" quotePrefix="0" xfId="0"/>
    <xf numFmtId="0" fontId="14" fillId="0" borderId="3" applyAlignment="1" pivotButton="0" quotePrefix="0" xfId="0">
      <alignment horizontal="center"/>
    </xf>
    <xf numFmtId="3" fontId="11" fillId="0" borderId="3" applyAlignment="1" pivotButton="0" quotePrefix="0" xfId="0">
      <alignment horizontal="center"/>
    </xf>
    <xf numFmtId="0" fontId="7" fillId="0" borderId="2" applyAlignment="1" pivotButton="0" quotePrefix="0" xfId="0">
      <alignment horizontal="center"/>
    </xf>
    <xf numFmtId="0" fontId="0" fillId="2" borderId="2" pivotButton="0" quotePrefix="0" xfId="0"/>
    <xf numFmtId="3" fontId="0" fillId="0" borderId="2" pivotButton="0" quotePrefix="0" xfId="0"/>
    <xf numFmtId="164" fontId="0" fillId="0" borderId="2" pivotButton="0" quotePrefix="0" xfId="0"/>
    <xf numFmtId="165" fontId="0" fillId="0" borderId="2" pivotButton="0" quotePrefix="0" xfId="0"/>
    <xf numFmtId="0" fontId="14" fillId="0" borderId="2" applyAlignment="1" pivotButton="0" quotePrefix="0" xfId="0">
      <alignment horizontal="center"/>
    </xf>
    <xf numFmtId="3" fontId="11" fillId="0" borderId="2" applyAlignment="1" pivotButton="0" quotePrefix="0" xfId="0">
      <alignment horizontal="center"/>
    </xf>
    <xf numFmtId="0" fontId="13" fillId="0" borderId="4" applyAlignment="1" pivotButton="0" quotePrefix="0" xfId="0">
      <alignment horizontal="center"/>
    </xf>
    <xf numFmtId="0" fontId="0" fillId="2" borderId="4" pivotButton="0" quotePrefix="0" xfId="0"/>
    <xf numFmtId="0" fontId="0" fillId="2" borderId="4" applyAlignment="1" pivotButton="0" quotePrefix="0" xfId="0">
      <alignment horizontal="center"/>
    </xf>
    <xf numFmtId="3" fontId="0" fillId="0" borderId="4" pivotButton="0" quotePrefix="0" xfId="0"/>
    <xf numFmtId="164" fontId="0" fillId="0" borderId="4" pivotButton="0" quotePrefix="0" xfId="0"/>
    <xf numFmtId="165" fontId="0" fillId="0" borderId="4" pivotButton="0" quotePrefix="0" xfId="0"/>
    <xf numFmtId="0" fontId="14" fillId="0" borderId="4" applyAlignment="1" pivotButton="0" quotePrefix="0" xfId="0">
      <alignment horizontal="center"/>
    </xf>
    <xf numFmtId="3" fontId="11" fillId="0" borderId="4" applyAlignment="1" pivotButton="0" quotePrefix="0" xfId="0">
      <alignment horizontal="center"/>
    </xf>
    <xf numFmtId="0" fontId="15" fillId="2" borderId="2" applyAlignment="1" pivotButton="0" quotePrefix="0" xfId="0">
      <alignment horizontal="center" vertical="bottom"/>
    </xf>
    <xf numFmtId="0" fontId="0" fillId="0" borderId="2" pivotButton="0" quotePrefix="0" xfId="0"/>
    <xf numFmtId="1" fontId="16" fillId="2" borderId="2" applyAlignment="1" pivotButton="0" quotePrefix="0" xfId="0">
      <alignment horizontal="center" vertical="center"/>
    </xf>
    <xf numFmtId="0" fontId="16" fillId="2" borderId="2" applyAlignment="1" pivotButton="0" quotePrefix="0" xfId="0">
      <alignment horizontal="center" vertical="center"/>
    </xf>
    <xf numFmtId="3" fontId="16" fillId="2" borderId="2" applyAlignment="1" pivotButton="0" quotePrefix="0" xfId="0">
      <alignment horizontal="center" vertical="center"/>
    </xf>
    <xf numFmtId="0" fontId="18" fillId="0" borderId="0" pivotButton="0" quotePrefix="0" xfId="0"/>
    <xf numFmtId="0" fontId="15" fillId="0" borderId="0" pivotButton="0" quotePrefix="0" xfId="0"/>
    <xf numFmtId="164" fontId="0" fillId="0" borderId="2" applyAlignment="1" pivotButton="0" quotePrefix="0" xfId="0">
      <alignment horizontal="center"/>
    </xf>
    <xf numFmtId="166" fontId="17" fillId="0" borderId="2" applyAlignment="1" pivotButton="0" quotePrefix="0" xfId="0">
      <alignment horizontal="center"/>
    </xf>
    <xf numFmtId="0" fontId="19" fillId="0" borderId="0" pivotButton="0" quotePrefix="0" xfId="0"/>
    <xf numFmtId="164" fontId="19" fillId="0" borderId="0" pivotButton="0" quotePrefix="0" xfId="0"/>
    <xf numFmtId="3" fontId="19" fillId="0" borderId="0" pivotButton="0" quotePrefix="0" xfId="0"/>
    <xf numFmtId="9" fontId="0" fillId="0" borderId="2" applyAlignment="1" pivotButton="0" quotePrefix="0" xfId="0">
      <alignment horizontal="center"/>
    </xf>
    <xf numFmtId="167" fontId="0" fillId="0" borderId="2" applyAlignment="1" pivotButton="0" quotePrefix="0" xfId="0">
      <alignment horizontal="center"/>
    </xf>
    <xf numFmtId="0" fontId="20" fillId="0" borderId="0" pivotButton="0" quotePrefix="0" xfId="0"/>
    <xf numFmtId="164" fontId="21" fillId="0" borderId="0" applyAlignment="1" pivotButton="0" quotePrefix="0" xfId="0">
      <alignment horizontal="center"/>
    </xf>
    <xf numFmtId="0" fontId="7" fillId="0" borderId="0" pivotButton="0" quotePrefix="0" xfId="0"/>
  </cellXfs>
  <cellStyles count="1">
    <cellStyle name="Normal" xfId="0" builtinId="0" hidden="0"/>
  </cellStyles>
  <dxfs count="2">
    <dxf>
      <font>
        <b val="1"/>
        <color rgb="004A6FA5"/>
      </font>
      <fill>
        <patternFill patternType="solid">
          <fgColor rgb="00E9EEF6"/>
          <bgColor rgb="00E9EEF6"/>
        </patternFill>
      </fill>
    </dxf>
    <dxf>
      <font>
        <color rgb="00E8E4DF"/>
        <sz val="8.5"/>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Best e1RM by Week</a:t>
            </a:r>
          </a:p>
        </rich>
      </tx>
    </title>
    <plotArea>
      <lineChart>
        <grouping val="standard"/>
        <ser>
          <idx val="0"/>
          <order val="0"/>
          <tx>
            <strRef>
              <f>'Progress Dashboard'!K12</f>
            </strRef>
          </tx>
          <spPr>
            <a:ln w="22000">
              <a:solidFill>
                <a:srgbClr val="4A6FA5"/>
              </a:solidFill>
              <a:prstDash val="solid"/>
            </a:ln>
          </spPr>
          <marker>
            <symbol val="circle"/>
            <size val="6"/>
            <spPr>
              <a:solidFill>
                <a:srgbClr val="4A6FA5"/>
              </a:solidFill>
              <a:ln>
                <a:solidFill>
                  <a:srgbClr val="4A6FA5"/>
                </a:solidFill>
                <a:prstDash val="solid"/>
              </a:ln>
            </spPr>
          </marker>
          <cat>
            <numRef>
              <f>'Progress Dashboard'!$J$13:$J$24</f>
            </numRef>
          </cat>
          <val>
            <numRef>
              <f>'Progress Dashboard'!$K$13:$K$24</f>
            </numRef>
          </val>
          <smooth val="0"/>
        </ser>
        <ser>
          <idx val="1"/>
          <order val="1"/>
          <tx>
            <strRef>
              <f>'Progress Dashboard'!L12</f>
            </strRef>
          </tx>
          <spPr>
            <a:ln w="22000">
              <a:solidFill>
                <a:srgbClr val="C37A67"/>
              </a:solidFill>
              <a:prstDash val="solid"/>
            </a:ln>
          </spPr>
          <marker>
            <symbol val="square"/>
            <size val="6"/>
            <spPr>
              <a:solidFill>
                <a:srgbClr val="C37A67"/>
              </a:solidFill>
              <a:ln>
                <a:solidFill>
                  <a:srgbClr val="C37A67"/>
                </a:solidFill>
                <a:prstDash val="solid"/>
              </a:ln>
            </spPr>
          </marker>
          <cat>
            <numRef>
              <f>'Progress Dashboard'!$J$13:$J$24</f>
            </numRef>
          </cat>
          <val>
            <numRef>
              <f>'Progress Dashboard'!$L$13:$L$24</f>
            </numRef>
          </val>
          <smooth val="0"/>
        </ser>
        <ser>
          <idx val="2"/>
          <order val="2"/>
          <tx>
            <strRef>
              <f>'Progress Dashboard'!M12</f>
            </strRef>
          </tx>
          <spPr>
            <a:ln w="22000">
              <a:solidFill>
                <a:srgbClr val="2D2D2D"/>
              </a:solidFill>
              <a:prstDash val="solid"/>
            </a:ln>
          </spPr>
          <marker>
            <symbol val="triangle"/>
            <size val="6"/>
            <spPr>
              <a:solidFill>
                <a:srgbClr val="2D2D2D"/>
              </a:solidFill>
              <a:ln>
                <a:solidFill>
                  <a:srgbClr val="2D2D2D"/>
                </a:solidFill>
                <a:prstDash val="solid"/>
              </a:ln>
            </spPr>
          </marker>
          <cat>
            <numRef>
              <f>'Progress Dashboard'!$J$13:$J$24</f>
            </numRef>
          </cat>
          <val>
            <numRef>
              <f>'Progress Dashboard'!$M$13:$M$24</f>
            </numRef>
          </val>
          <smooth val="0"/>
        </ser>
        <ser>
          <idx val="3"/>
          <order val="3"/>
          <tx>
            <strRef>
              <f>'Progress Dashboard'!N12</f>
            </strRef>
          </tx>
          <spPr>
            <a:ln w="22000">
              <a:solidFill>
                <a:srgbClr val="7FA07E"/>
              </a:solidFill>
              <a:prstDash val="solid"/>
            </a:ln>
          </spPr>
          <marker>
            <symbol val="diamond"/>
            <size val="6"/>
            <spPr>
              <a:solidFill>
                <a:srgbClr val="7FA07E"/>
              </a:solidFill>
              <a:ln>
                <a:solidFill>
                  <a:srgbClr val="7FA07E"/>
                </a:solidFill>
                <a:prstDash val="solid"/>
              </a:ln>
            </spPr>
          </marker>
          <cat>
            <numRef>
              <f>'Progress Dashboard'!$J$13:$J$24</f>
            </numRef>
          </cat>
          <val>
            <numRef>
              <f>'Progress Dashboard'!$N$13:$N$24</f>
            </numRef>
          </val>
          <smooth val="0"/>
        </ser>
        <ser>
          <idx val="4"/>
          <order val="4"/>
          <tx>
            <strRef>
              <f>'Progress Dashboard'!O12</f>
            </strRef>
          </tx>
          <spPr>
            <a:ln w="22000">
              <a:solidFill>
                <a:srgbClr val="6B7B8D"/>
              </a:solidFill>
              <a:prstDash val="solid"/>
            </a:ln>
          </spPr>
          <marker>
            <symbol val="x"/>
            <size val="6"/>
            <spPr>
              <a:solidFill>
                <a:srgbClr val="6B7B8D"/>
              </a:solidFill>
              <a:ln>
                <a:solidFill>
                  <a:srgbClr val="6B7B8D"/>
                </a:solidFill>
                <a:prstDash val="solid"/>
              </a:ln>
            </spPr>
          </marker>
          <cat>
            <numRef>
              <f>'Progress Dashboard'!$J$13:$J$24</f>
            </numRef>
          </cat>
          <val>
            <numRef>
              <f>'Progress Dashboard'!$O$13:$O$24</f>
            </numRef>
          </val>
          <smooth val="0"/>
        </ser>
        <axId val="10"/>
        <axId val="100"/>
      </lineChart>
      <catAx>
        <axId val="10"/>
        <scaling>
          <orientation val="minMax"/>
        </scaling>
        <delete val="0"/>
        <axPos val="l"/>
        <title>
          <tx>
            <rich>
              <a:bodyPr/>
              <a:p>
                <a:pPr>
                  <a:defRPr/>
                </a:pPr>
                <a:r>
                  <a:t>Week</a:t>
                </a:r>
              </a:p>
            </rich>
          </tx>
        </title>
        <majorTickMark val="none"/>
        <minorTickMark val="none"/>
        <crossAx val="100"/>
        <lblOffset val="100"/>
      </catAx>
      <valAx>
        <axId val="100"/>
        <scaling>
          <orientation val="minMax"/>
        </scaling>
        <delete val="0"/>
        <axPos val="l"/>
        <majorGridlines/>
        <title>
          <tx>
            <rich>
              <a:bodyPr/>
              <a:p>
                <a:pPr>
                  <a:defRPr/>
                </a:pPr>
                <a:r>
                  <a:t>Best e1RM (your units)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Weekly Tonnage</a:t>
            </a:r>
          </a:p>
        </rich>
      </tx>
    </title>
    <plotArea>
      <barChart>
        <barDir val="col"/>
        <grouping val="clustered"/>
        <ser>
          <idx val="0"/>
          <order val="0"/>
          <tx>
            <strRef>
              <f>'Progress Dashboard'!P12</f>
            </strRef>
          </tx>
          <spPr>
            <a:solidFill>
              <a:srgbClr val="4A6FA5"/>
            </a:solidFill>
            <a:ln>
              <a:prstDash val="solid"/>
            </a:ln>
          </spPr>
          <cat>
            <numRef>
              <f>'Progress Dashboard'!$J$13:$J$24</f>
            </numRef>
          </cat>
          <val>
            <numRef>
              <f>'Progress Dashboard'!$P$13:$P$24</f>
            </numRef>
          </val>
        </ser>
        <gapWidth val="60"/>
        <axId val="10"/>
        <axId val="100"/>
      </barChart>
      <catAx>
        <axId val="10"/>
        <scaling>
          <orientation val="minMax"/>
        </scaling>
        <delete val="0"/>
        <axPos val="l"/>
        <title>
          <tx>
            <rich>
              <a:bodyPr/>
              <a:p>
                <a:pPr>
                  <a:defRPr/>
                </a:pPr>
                <a:r>
                  <a:t>Week</a:t>
                </a:r>
              </a:p>
            </rich>
          </tx>
        </title>
        <majorTickMark val="none"/>
        <minorTickMark val="none"/>
        <crossAx val="100"/>
        <lblOffset val="100"/>
      </catAx>
      <valAx>
        <axId val="100"/>
        <scaling>
          <orientation val="minMax"/>
        </scaling>
        <delete val="0"/>
        <axPos val="l"/>
        <majorGridlines/>
        <title>
          <tx>
            <rich>
              <a:bodyPr/>
              <a:p>
                <a:pPr>
                  <a:defRPr/>
                </a:pPr>
                <a:r>
                  <a:t>Total tonnage (your units)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26</row>
      <rowOff>0</rowOff>
    </from>
    <ext cx="7560000" cy="37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48</row>
      <rowOff>0</rowOff>
    </from>
    <ext cx="7560000" cy="34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2D2D2D"/>
    <outlinePr summaryBelow="1" summaryRight="1"/>
    <pageSetUpPr/>
  </sheetPr>
  <dimension ref="B2:H49"/>
  <sheetViews>
    <sheetView showGridLines="0" workbookViewId="0">
      <selection activeCell="A1" sqref="A1"/>
    </sheetView>
  </sheetViews>
  <sheetFormatPr baseColWidth="8" defaultRowHeight="15"/>
  <cols>
    <col width="2.5" customWidth="1" min="1" max="1"/>
    <col width="16" customWidth="1" min="2" max="2"/>
    <col width="14" customWidth="1" min="3" max="3"/>
    <col width="14" customWidth="1" min="4" max="4"/>
    <col width="14" customWidth="1" min="5" max="5"/>
    <col width="14" customWidth="1" min="6" max="6"/>
    <col width="14" customWidth="1" min="7" max="7"/>
    <col width="14" customWidth="1" min="8" max="8"/>
  </cols>
  <sheetData>
    <row r="2" ht="16" customHeight="1">
      <c r="B2" s="1" t="inlineStr">
        <is>
          <t>ATLASFORM</t>
        </is>
      </c>
    </row>
    <row r="3" ht="34" customHeight="1">
      <c r="B3" s="2" t="inlineStr">
        <is>
          <t>Progressive Overload Workout Spreadsheet</t>
        </is>
      </c>
    </row>
    <row r="4" ht="20" customHeight="1">
      <c r="B4" s="3" t="inlineStr">
        <is>
          <t>An auto-calculating 12-week training log · Excel + Google Sheets · no macros</t>
        </is>
      </c>
    </row>
    <row r="5" ht="8" customHeight="1"/>
    <row r="6" ht="24" customHeight="1">
      <c r="B6" s="4" t="inlineStr">
        <is>
          <t>WHAT THIS IS</t>
        </is>
      </c>
    </row>
    <row r="7" ht="5" customHeight="1"/>
    <row r="8" ht="66" customHeight="1">
      <c r="B8" s="5" t="inlineStr">
        <is>
          <t>A training log that does its own arithmetic. You type exercise, sets, reps, and weight. The sheet computes your tonnage per set-block, your session volume, and your estimated one-rep max — then flags the PR the moment a lift beats your best. The dashboard graphs all twelve weeks without being asked. Progressive overload is a numbers discipline; this is the ledger.</t>
        </is>
      </c>
    </row>
    <row r="9" ht="8" customHeight="1"/>
    <row r="10" ht="24" customHeight="1">
      <c r="B10" s="4" t="inlineStr">
        <is>
          <t>QUICK START — THREE MOVES</t>
        </is>
      </c>
    </row>
    <row r="11" ht="5" customHeight="1"/>
    <row r="12" ht="51.5" customHeight="1">
      <c r="B12" s="5" t="inlineStr">
        <is>
          <t>1.  SETUP TAB — Five lifts are already loaded (squat, bench, deadlift, overhead press, row). Rename them or add up to five of your own, pick lbs or kg, and enter a training max for any lift you want percentage tables for.</t>
        </is>
      </c>
    </row>
    <row r="13" ht="51.5" customHeight="1">
      <c r="B13" s="5" t="inlineStr">
        <is>
          <t>2.  TRAINING LOG — Pick the exercise from the dropdown, then type sets, reps, and weight. Tonnage, e1RM, and PR flags fill in on their own. RIR is there for the meticulous; the engine runs without it.</t>
        </is>
      </c>
    </row>
    <row r="14" ht="37" customHeight="1">
      <c r="B14" s="5" t="inlineStr">
        <is>
          <t>3.  PROGRESS DASHBOARD — Charts and totals update as you log. Nothing to configure, nothing to refresh.</t>
        </is>
      </c>
    </row>
    <row r="15" ht="8" customHeight="1"/>
    <row r="16" ht="24" customHeight="1">
      <c r="B16" s="4" t="inlineStr">
        <is>
          <t>USING IT IN EXCEL</t>
        </is>
      </c>
    </row>
    <row r="17" ht="5" customHeight="1"/>
    <row r="18" ht="51.5" customHeight="1">
      <c r="B18" s="5" t="inlineStr">
        <is>
          <t>Open the file and click Enable Editing if Excel asks — the calculations run the moment the sheet wakes up. Built for Excel 2019, 2021, and Microsoft 365 (the PR engine uses MAXIFS, which older Excel doesn't ship).</t>
        </is>
      </c>
    </row>
    <row r="19" ht="8" customHeight="1"/>
    <row r="20" ht="24" customHeight="1">
      <c r="B20" s="4" t="inlineStr">
        <is>
          <t>USING IT IN GOOGLE SHEETS (FREE)</t>
        </is>
      </c>
    </row>
    <row r="21" ht="5" customHeight="1"/>
    <row r="22" ht="66" customHeight="1">
      <c r="B22" s="5" t="inlineStr">
        <is>
          <t>Go to drive.google.com and upload this file (New → File upload). Double-click it once it lands, then choose File → Save as Google Sheets. Formulas, charts, dropdowns, and the PR highlighting all come along. Log from your phone with the free Google Sheets app — the math runs mid-workout.</t>
        </is>
      </c>
    </row>
    <row r="23" ht="8" customHeight="1"/>
    <row r="24" ht="24" customHeight="1">
      <c r="B24" s="4" t="inlineStr">
        <is>
          <t>THE AUTO-CALCULATIONS, PLAINLY</t>
        </is>
      </c>
    </row>
    <row r="25" ht="5" customHeight="1"/>
    <row r="26" ht="37" customHeight="1">
      <c r="B26" s="5" t="inlineStr">
        <is>
          <t>TONNAGE — sets × reps × weight per row, totalled per session. Volume is the quiet number that decides whether a block worked; the sheet never forgets it.</t>
        </is>
      </c>
    </row>
    <row r="27" ht="51.5" customHeight="1">
      <c r="B27" s="5" t="inlineStr">
        <is>
          <t>e1RM — estimated one-rep max via the Epley formula: weight × (1 + reps ÷ 30). It converts every rep range back to one comparable number, so a 5×5 week and a 3×8 week can look each other in the eye.</t>
        </is>
      </c>
    </row>
    <row r="28" ht="66" customHeight="1">
      <c r="B28" s="5" t="inlineStr">
        <is>
          <t>PR FLAGS — each row checks your e1RM against your previous best for that lift, all twelve weeks back. Beat it and the row lights up. The sheet won't add the weight to the bar — it shows you the exact number you're trying to beat. That's the whole trick of progressive overload.</t>
        </is>
      </c>
    </row>
    <row r="29" ht="37" customHeight="1">
      <c r="B29" s="5" t="inlineStr">
        <is>
          <t>PREV BEST shows a dash on a lift's first entry: no history yet, so your first logged set is your first PR. Everyone starts somewhere; the sheet starts counting there too.</t>
        </is>
      </c>
    </row>
    <row r="30" ht="8" customHeight="1"/>
    <row r="31" ht="24" customHeight="1">
      <c r="B31" s="4" t="inlineStr">
        <is>
          <t>UNITS</t>
        </is>
      </c>
    </row>
    <row r="32" ht="5" customHeight="1"/>
    <row r="33" ht="37" customHeight="1">
      <c r="B33" s="5" t="inlineStr">
        <is>
          <t>One cell on the Setup tab: lbs or kg. Column headers follow it, and the percentage tables round to real plates — nearest 5 lb or nearest 2.5 kg.</t>
        </is>
      </c>
    </row>
    <row r="34" ht="8" customHeight="1"/>
    <row r="35" ht="24" customHeight="1">
      <c r="B35" s="4" t="inlineStr">
        <is>
          <t>WHERE TO TYPE</t>
        </is>
      </c>
    </row>
    <row r="36" ht="5" customHeight="1"/>
    <row r="37" ht="66" customHeight="1">
      <c r="B37" s="5" t="inlineStr">
        <is>
          <t>Cream cells are yours. White cells calculate themselves — type over one and you're overwriting a formula (Ctrl+Z undoes it). You don't have to fill every column, and you don't have to train four sessions a week for the sheet to work: blank rows and blank weeks simply don't count against you.</t>
        </is>
      </c>
    </row>
    <row r="38" ht="4" customHeight="1"/>
    <row r="39" ht="18" customHeight="1">
      <c r="B39" s="6" t="inlineStr">
        <is>
          <t>you type here</t>
        </is>
      </c>
      <c r="D39" s="7" t="inlineStr">
        <is>
          <t>calculated</t>
        </is>
      </c>
    </row>
    <row r="40" ht="8" customHeight="1"/>
    <row r="41" ht="24" customHeight="1">
      <c r="B41" s="4" t="inlineStr">
        <is>
          <t>A WORKED EXAMPLE</t>
        </is>
      </c>
    </row>
    <row r="42" ht="5" customHeight="1"/>
    <row r="43" ht="37" customHeight="1">
      <c r="B43" s="5" t="inlineStr">
        <is>
          <t>You log:  Squat · 5 sets · 5 reps · 225.    The sheet answers:  Tonnage 5,625 · e1RM 262.5 · PR (first entry).</t>
        </is>
      </c>
    </row>
    <row r="44" ht="37" customHeight="1">
      <c r="B44" s="5" t="inlineStr">
        <is>
          <t>Next squat day you log 5 × 5 × 230: e1RM 268.3, and the row lights up again — 5.8 in the bank. Small jumps, honestly counted, twelve weeks straight. That's the program.</t>
        </is>
      </c>
    </row>
    <row r="45" ht="8" customHeight="1"/>
    <row r="46" ht="24" customHeight="1">
      <c r="B46" s="4" t="inlineStr">
        <is>
          <t>THE FINE PRINT</t>
        </is>
      </c>
    </row>
    <row r="47" ht="5" customHeight="1"/>
    <row r="48" ht="51.5" customHeight="1">
      <c r="B48" s="5" t="inlineStr">
        <is>
          <t>No macros, no add-ins, no internet required — plain formulas that work in Excel and Google Sheets. Want a paper log instead? Our Progressive Overload Tracker is this system's print edition, in the shop.</t>
        </is>
      </c>
    </row>
    <row r="49" ht="37" customHeight="1">
      <c r="B49" s="8" t="inlineStr">
        <is>
          <t>Original AtlasForm design. For personal use only — not for resale or redistribution. © 2026 AtlasForm.</t>
        </is>
      </c>
    </row>
  </sheetData>
  <mergeCells count="28">
    <mergeCell ref="B49:H49"/>
    <mergeCell ref="B6:H6"/>
    <mergeCell ref="B24:H24"/>
    <mergeCell ref="B33:H33"/>
    <mergeCell ref="B20:H20"/>
    <mergeCell ref="B26:H26"/>
    <mergeCell ref="B41:H41"/>
    <mergeCell ref="B35:H35"/>
    <mergeCell ref="B4:H4"/>
    <mergeCell ref="B16:H16"/>
    <mergeCell ref="B3:H3"/>
    <mergeCell ref="B31:H31"/>
    <mergeCell ref="B46:H46"/>
    <mergeCell ref="B22:H22"/>
    <mergeCell ref="B18:H18"/>
    <mergeCell ref="B27:H27"/>
    <mergeCell ref="B43:H43"/>
    <mergeCell ref="B12:H12"/>
    <mergeCell ref="B2:H2"/>
    <mergeCell ref="B48:H48"/>
    <mergeCell ref="B8:H8"/>
    <mergeCell ref="B14:H14"/>
    <mergeCell ref="B13:H13"/>
    <mergeCell ref="B44:H44"/>
    <mergeCell ref="B29:H29"/>
    <mergeCell ref="B10:H10"/>
    <mergeCell ref="B37:H37"/>
    <mergeCell ref="B28:H28"/>
  </mergeCells>
  <pageMargins left="0.75" right="0.75" top="1" bottom="1" header="0.5" footer="0.5"/>
</worksheet>
</file>

<file path=xl/worksheets/sheet2.xml><?xml version="1.0" encoding="utf-8"?>
<worksheet xmlns="http://schemas.openxmlformats.org/spreadsheetml/2006/main">
  <sheetPr>
    <tabColor rgb="004A6FA5"/>
    <outlinePr summaryBelow="1" summaryRight="1"/>
    <pageSetUpPr/>
  </sheetPr>
  <dimension ref="B2:I22"/>
  <sheetViews>
    <sheetView showGridLines="0" workbookViewId="0">
      <selection activeCell="A1" sqref="A1"/>
    </sheetView>
  </sheetViews>
  <sheetFormatPr baseColWidth="8" defaultRowHeight="15"/>
  <cols>
    <col width="2.5" customWidth="1" min="1" max="1"/>
    <col width="22" customWidth="1" min="2" max="2"/>
    <col width="14" customWidth="1" min="3" max="3"/>
    <col width="10" customWidth="1" min="4" max="4"/>
    <col width="10" customWidth="1" min="5" max="5"/>
    <col width="10" customWidth="1" min="6" max="6"/>
    <col width="10" customWidth="1" min="7" max="7"/>
    <col width="10" customWidth="1" min="8" max="8"/>
    <col width="10" customWidth="1" min="9" max="9"/>
  </cols>
  <sheetData>
    <row r="2" ht="26" customHeight="1">
      <c r="B2" s="9" t="inlineStr">
        <is>
          <t>Setup</t>
        </is>
      </c>
    </row>
    <row r="3">
      <c r="B3" s="10" t="inlineStr">
        <is>
          <t>Lifts, units, and training maxes. The Training Log reads everything here.</t>
        </is>
      </c>
    </row>
    <row r="5">
      <c r="B5" s="11" t="inlineStr">
        <is>
          <t>Units (lbs or kg)</t>
        </is>
      </c>
      <c r="C5" s="12" t="inlineStr">
        <is>
          <t>lbs</t>
        </is>
      </c>
    </row>
    <row r="6">
      <c r="B6" s="10" t="inlineStr">
        <is>
          <t>Plates round to nearest</t>
        </is>
      </c>
      <c r="C6" s="13">
        <f>IF($C$5="kg",2.5,5)</f>
        <v/>
      </c>
    </row>
    <row r="8" ht="22" customHeight="1">
      <c r="B8" s="14" t="inlineStr">
        <is>
          <t>YOUR LIFTS</t>
        </is>
      </c>
    </row>
    <row r="9">
      <c r="B9" s="15" t="inlineStr">
        <is>
          <t>Lift</t>
        </is>
      </c>
      <c r="C9" s="15" t="inlineStr">
        <is>
          <t>Training Max</t>
        </is>
      </c>
      <c r="D9" s="16" t="n">
        <v>0.95</v>
      </c>
      <c r="E9" s="16" t="n">
        <v>0.9</v>
      </c>
      <c r="F9" s="16" t="n">
        <v>0.85</v>
      </c>
      <c r="G9" s="16" t="n">
        <v>0.8</v>
      </c>
      <c r="H9" s="16" t="n">
        <v>0.75</v>
      </c>
      <c r="I9" s="16" t="n">
        <v>0.7</v>
      </c>
    </row>
    <row r="10">
      <c r="B10" s="17" t="inlineStr">
        <is>
          <t>Squat</t>
        </is>
      </c>
      <c r="C10" s="18" t="n"/>
      <c r="D10" s="19">
        <f>IF($C10="","",ROUND($C10*D$9/$C$6,0)*$C$6)</f>
        <v/>
      </c>
      <c r="E10" s="19">
        <f>IF($C10="","",ROUND($C10*E$9/$C$6,0)*$C$6)</f>
        <v/>
      </c>
      <c r="F10" s="19">
        <f>IF($C10="","",ROUND($C10*F$9/$C$6,0)*$C$6)</f>
        <v/>
      </c>
      <c r="G10" s="19">
        <f>IF($C10="","",ROUND($C10*G$9/$C$6,0)*$C$6)</f>
        <v/>
      </c>
      <c r="H10" s="19">
        <f>IF($C10="","",ROUND($C10*H$9/$C$6,0)*$C$6)</f>
        <v/>
      </c>
      <c r="I10" s="19">
        <f>IF($C10="","",ROUND($C10*I$9/$C$6,0)*$C$6)</f>
        <v/>
      </c>
    </row>
    <row r="11">
      <c r="B11" s="17" t="inlineStr">
        <is>
          <t>Bench Press</t>
        </is>
      </c>
      <c r="C11" s="18" t="n"/>
      <c r="D11" s="19">
        <f>IF($C11="","",ROUND($C11*D$9/$C$6,0)*$C$6)</f>
        <v/>
      </c>
      <c r="E11" s="19">
        <f>IF($C11="","",ROUND($C11*E$9/$C$6,0)*$C$6)</f>
        <v/>
      </c>
      <c r="F11" s="19">
        <f>IF($C11="","",ROUND($C11*F$9/$C$6,0)*$C$6)</f>
        <v/>
      </c>
      <c r="G11" s="19">
        <f>IF($C11="","",ROUND($C11*G$9/$C$6,0)*$C$6)</f>
        <v/>
      </c>
      <c r="H11" s="19">
        <f>IF($C11="","",ROUND($C11*H$9/$C$6,0)*$C$6)</f>
        <v/>
      </c>
      <c r="I11" s="19">
        <f>IF($C11="","",ROUND($C11*I$9/$C$6,0)*$C$6)</f>
        <v/>
      </c>
    </row>
    <row r="12">
      <c r="B12" s="17" t="inlineStr">
        <is>
          <t>Deadlift</t>
        </is>
      </c>
      <c r="C12" s="18" t="n"/>
      <c r="D12" s="19">
        <f>IF($C12="","",ROUND($C12*D$9/$C$6,0)*$C$6)</f>
        <v/>
      </c>
      <c r="E12" s="19">
        <f>IF($C12="","",ROUND($C12*E$9/$C$6,0)*$C$6)</f>
        <v/>
      </c>
      <c r="F12" s="19">
        <f>IF($C12="","",ROUND($C12*F$9/$C$6,0)*$C$6)</f>
        <v/>
      </c>
      <c r="G12" s="19">
        <f>IF($C12="","",ROUND($C12*G$9/$C$6,0)*$C$6)</f>
        <v/>
      </c>
      <c r="H12" s="19">
        <f>IF($C12="","",ROUND($C12*H$9/$C$6,0)*$C$6)</f>
        <v/>
      </c>
      <c r="I12" s="19">
        <f>IF($C12="","",ROUND($C12*I$9/$C$6,0)*$C$6)</f>
        <v/>
      </c>
    </row>
    <row r="13">
      <c r="B13" s="17" t="inlineStr">
        <is>
          <t>Overhead Press</t>
        </is>
      </c>
      <c r="C13" s="18" t="n"/>
      <c r="D13" s="19">
        <f>IF($C13="","",ROUND($C13*D$9/$C$6,0)*$C$6)</f>
        <v/>
      </c>
      <c r="E13" s="19">
        <f>IF($C13="","",ROUND($C13*E$9/$C$6,0)*$C$6)</f>
        <v/>
      </c>
      <c r="F13" s="19">
        <f>IF($C13="","",ROUND($C13*F$9/$C$6,0)*$C$6)</f>
        <v/>
      </c>
      <c r="G13" s="19">
        <f>IF($C13="","",ROUND($C13*G$9/$C$6,0)*$C$6)</f>
        <v/>
      </c>
      <c r="H13" s="19">
        <f>IF($C13="","",ROUND($C13*H$9/$C$6,0)*$C$6)</f>
        <v/>
      </c>
      <c r="I13" s="19">
        <f>IF($C13="","",ROUND($C13*I$9/$C$6,0)*$C$6)</f>
        <v/>
      </c>
    </row>
    <row r="14">
      <c r="B14" s="17" t="inlineStr">
        <is>
          <t>Barbell Row</t>
        </is>
      </c>
      <c r="C14" s="18" t="n"/>
      <c r="D14" s="19">
        <f>IF($C14="","",ROUND($C14*D$9/$C$6,0)*$C$6)</f>
        <v/>
      </c>
      <c r="E14" s="19">
        <f>IF($C14="","",ROUND($C14*E$9/$C$6,0)*$C$6)</f>
        <v/>
      </c>
      <c r="F14" s="19">
        <f>IF($C14="","",ROUND($C14*F$9/$C$6,0)*$C$6)</f>
        <v/>
      </c>
      <c r="G14" s="19">
        <f>IF($C14="","",ROUND($C14*G$9/$C$6,0)*$C$6)</f>
        <v/>
      </c>
      <c r="H14" s="19">
        <f>IF($C14="","",ROUND($C14*H$9/$C$6,0)*$C$6)</f>
        <v/>
      </c>
      <c r="I14" s="19">
        <f>IF($C14="","",ROUND($C14*I$9/$C$6,0)*$C$6)</f>
        <v/>
      </c>
    </row>
    <row r="15">
      <c r="B15" s="17" t="n"/>
      <c r="C15" s="18" t="n"/>
      <c r="D15" s="19">
        <f>IF($C15="","",ROUND($C15*D$9/$C$6,0)*$C$6)</f>
        <v/>
      </c>
      <c r="E15" s="19">
        <f>IF($C15="","",ROUND($C15*E$9/$C$6,0)*$C$6)</f>
        <v/>
      </c>
      <c r="F15" s="19">
        <f>IF($C15="","",ROUND($C15*F$9/$C$6,0)*$C$6)</f>
        <v/>
      </c>
      <c r="G15" s="19">
        <f>IF($C15="","",ROUND($C15*G$9/$C$6,0)*$C$6)</f>
        <v/>
      </c>
      <c r="H15" s="19">
        <f>IF($C15="","",ROUND($C15*H$9/$C$6,0)*$C$6)</f>
        <v/>
      </c>
      <c r="I15" s="19">
        <f>IF($C15="","",ROUND($C15*I$9/$C$6,0)*$C$6)</f>
        <v/>
      </c>
    </row>
    <row r="16">
      <c r="B16" s="17" t="n"/>
      <c r="C16" s="18" t="n"/>
      <c r="D16" s="19">
        <f>IF($C16="","",ROUND($C16*D$9/$C$6,0)*$C$6)</f>
        <v/>
      </c>
      <c r="E16" s="19">
        <f>IF($C16="","",ROUND($C16*E$9/$C$6,0)*$C$6)</f>
        <v/>
      </c>
      <c r="F16" s="19">
        <f>IF($C16="","",ROUND($C16*F$9/$C$6,0)*$C$6)</f>
        <v/>
      </c>
      <c r="G16" s="19">
        <f>IF($C16="","",ROUND($C16*G$9/$C$6,0)*$C$6)</f>
        <v/>
      </c>
      <c r="H16" s="19">
        <f>IF($C16="","",ROUND($C16*H$9/$C$6,0)*$C$6)</f>
        <v/>
      </c>
      <c r="I16" s="19">
        <f>IF($C16="","",ROUND($C16*I$9/$C$6,0)*$C$6)</f>
        <v/>
      </c>
    </row>
    <row r="17">
      <c r="B17" s="17" t="n"/>
      <c r="C17" s="18" t="n"/>
      <c r="D17" s="19">
        <f>IF($C17="","",ROUND($C17*D$9/$C$6,0)*$C$6)</f>
        <v/>
      </c>
      <c r="E17" s="19">
        <f>IF($C17="","",ROUND($C17*E$9/$C$6,0)*$C$6)</f>
        <v/>
      </c>
      <c r="F17" s="19">
        <f>IF($C17="","",ROUND($C17*F$9/$C$6,0)*$C$6)</f>
        <v/>
      </c>
      <c r="G17" s="19">
        <f>IF($C17="","",ROUND($C17*G$9/$C$6,0)*$C$6)</f>
        <v/>
      </c>
      <c r="H17" s="19">
        <f>IF($C17="","",ROUND($C17*H$9/$C$6,0)*$C$6)</f>
        <v/>
      </c>
      <c r="I17" s="19">
        <f>IF($C17="","",ROUND($C17*I$9/$C$6,0)*$C$6)</f>
        <v/>
      </c>
    </row>
    <row r="18">
      <c r="B18" s="17" t="n"/>
      <c r="C18" s="18" t="n"/>
      <c r="D18" s="19">
        <f>IF($C18="","",ROUND($C18*D$9/$C$6,0)*$C$6)</f>
        <v/>
      </c>
      <c r="E18" s="19">
        <f>IF($C18="","",ROUND($C18*E$9/$C$6,0)*$C$6)</f>
        <v/>
      </c>
      <c r="F18" s="19">
        <f>IF($C18="","",ROUND($C18*F$9/$C$6,0)*$C$6)</f>
        <v/>
      </c>
      <c r="G18" s="19">
        <f>IF($C18="","",ROUND($C18*G$9/$C$6,0)*$C$6)</f>
        <v/>
      </c>
      <c r="H18" s="19">
        <f>IF($C18="","",ROUND($C18*H$9/$C$6,0)*$C$6)</f>
        <v/>
      </c>
      <c r="I18" s="19">
        <f>IF($C18="","",ROUND($C18*I$9/$C$6,0)*$C$6)</f>
        <v/>
      </c>
    </row>
    <row r="19">
      <c r="B19" s="17" t="n"/>
      <c r="C19" s="18" t="n"/>
      <c r="D19" s="19">
        <f>IF($C19="","",ROUND($C19*D$9/$C$6,0)*$C$6)</f>
        <v/>
      </c>
      <c r="E19" s="19">
        <f>IF($C19="","",ROUND($C19*E$9/$C$6,0)*$C$6)</f>
        <v/>
      </c>
      <c r="F19" s="19">
        <f>IF($C19="","",ROUND($C19*F$9/$C$6,0)*$C$6)</f>
        <v/>
      </c>
      <c r="G19" s="19">
        <f>IF($C19="","",ROUND($C19*G$9/$C$6,0)*$C$6)</f>
        <v/>
      </c>
      <c r="H19" s="19">
        <f>IF($C19="","",ROUND($C19*H$9/$C$6,0)*$C$6)</f>
        <v/>
      </c>
      <c r="I19" s="19">
        <f>IF($C19="","",ROUND($C19*I$9/$C$6,0)*$C$6)</f>
        <v/>
      </c>
    </row>
    <row r="21" ht="40" customHeight="1">
      <c r="B21" s="20" t="inlineStr">
        <is>
          <t>Training max: the heaviest weight you could lift for ~3 clean reps today — not your all-time best. The percentage columns turn it into working weights, rounded to real plates. Leave it blank if you don't program by percentages; the log runs fine without it.</t>
        </is>
      </c>
    </row>
    <row r="22" ht="28" customHeight="1">
      <c r="B22" s="20" t="inlineStr">
        <is>
          <t>The five blank rows are custom slots — front squat, incline bench, RDL, whatever your program runs. Named lifts appear in the Training Log dropdown automatically.</t>
        </is>
      </c>
    </row>
  </sheetData>
  <mergeCells count="2">
    <mergeCell ref="B22:I22"/>
    <mergeCell ref="B21:I21"/>
  </mergeCells>
  <dataValidations count="1">
    <dataValidation sqref="C5" showDropDown="0" showInputMessage="0" showErrorMessage="0" allowBlank="0" type="list">
      <formula1>"lbs,kg"</formula1>
    </dataValidation>
  </dataValidations>
  <pageMargins left="0.75" right="0.75" top="1" bottom="1" header="0.5" footer="0.5"/>
</worksheet>
</file>

<file path=xl/worksheets/sheet3.xml><?xml version="1.0" encoding="utf-8"?>
<worksheet xmlns="http://schemas.openxmlformats.org/spreadsheetml/2006/main">
  <sheetPr>
    <tabColor rgb="004A6FA5"/>
    <outlinePr summaryBelow="1" summaryRight="1"/>
    <pageSetUpPr/>
  </sheetPr>
  <dimension ref="A1:L297"/>
  <sheetViews>
    <sheetView showGridLines="0" workbookViewId="0">
      <pane ySplit="9" topLeftCell="A10" activePane="bottomLeft" state="frozen"/>
      <selection pane="bottomLeft" activeCell="A1" sqref="A1"/>
    </sheetView>
  </sheetViews>
  <sheetFormatPr baseColWidth="8" defaultRowHeight="15"/>
  <cols>
    <col width="7" customWidth="1" min="1" max="1"/>
    <col width="9" customWidth="1" min="2" max="2"/>
    <col width="24" customWidth="1" min="3" max="3"/>
    <col width="7" customWidth="1" min="4" max="4"/>
    <col width="7" customWidth="1" min="5" max="5"/>
    <col width="11" customWidth="1" min="6" max="6"/>
    <col width="6.5" customWidth="1" min="7" max="7"/>
    <col width="13" customWidth="1" min="8" max="8"/>
    <col width="12" customWidth="1" min="9" max="9"/>
    <col width="11" customWidth="1" min="10" max="10"/>
    <col width="6" customWidth="1" min="11" max="11"/>
    <col width="15" customWidth="1" min="12" max="12"/>
  </cols>
  <sheetData>
    <row r="1" ht="26" customHeight="1">
      <c r="A1" s="9" t="inlineStr">
        <is>
          <t>Training Log</t>
        </is>
      </c>
    </row>
    <row r="2">
      <c r="A2" s="10" t="inlineStr">
        <is>
          <t>12 weeks × 4 sessions × 6 exercise rows. Cream cells are yours; the rest is arithmetic. Session Volume posts on each session's first row.</t>
        </is>
      </c>
    </row>
    <row r="4">
      <c r="A4" s="21" t="inlineStr">
        <is>
          <t>e1RM (Epley)  =  weight × (1 + reps ÷ 30)</t>
        </is>
      </c>
    </row>
    <row r="5">
      <c r="A5" s="21" t="inlineStr">
        <is>
          <t>PR  =  this row's e1RM beats every earlier e1RM for the same lift. Prev Best shows — on a lift's first entry.</t>
        </is>
      </c>
    </row>
    <row r="7">
      <c r="A7" s="21" t="inlineStr">
        <is>
          <t>Tip: straight sets assumed (same reps and weight across the sets on a row). Different top set? Give it its own row.</t>
        </is>
      </c>
    </row>
    <row r="9" ht="20" customHeight="1">
      <c r="A9" s="22" t="inlineStr">
        <is>
          <t>Week</t>
        </is>
      </c>
      <c r="B9" s="22" t="inlineStr">
        <is>
          <t>Session</t>
        </is>
      </c>
      <c r="C9" s="22" t="inlineStr">
        <is>
          <t>Exercise</t>
        </is>
      </c>
      <c r="D9" s="22" t="inlineStr">
        <is>
          <t>Sets</t>
        </is>
      </c>
      <c r="E9" s="22" t="inlineStr">
        <is>
          <t>Reps</t>
        </is>
      </c>
      <c r="F9" s="22">
        <f>"Weight ("&amp;Units&amp;")"</f>
        <v/>
      </c>
      <c r="G9" s="22" t="inlineStr">
        <is>
          <t>RIR</t>
        </is>
      </c>
      <c r="H9" s="22">
        <f>"Tonnage ("&amp;Units&amp;")"</f>
        <v/>
      </c>
      <c r="I9" s="22">
        <f>"e1RM ("&amp;Units&amp;")"</f>
        <v/>
      </c>
      <c r="J9" s="22" t="inlineStr">
        <is>
          <t>Prev Best</t>
        </is>
      </c>
      <c r="K9" s="22" t="inlineStr">
        <is>
          <t>PR</t>
        </is>
      </c>
      <c r="L9" s="22" t="inlineStr">
        <is>
          <t>Session Volume</t>
        </is>
      </c>
    </row>
    <row r="10">
      <c r="A10" s="23" t="n">
        <v>1</v>
      </c>
      <c r="B10" s="23" t="n">
        <v>1</v>
      </c>
      <c r="C10" s="24" t="n"/>
      <c r="D10" s="25" t="n"/>
      <c r="E10" s="25" t="n"/>
      <c r="F10" s="25" t="n"/>
      <c r="G10" s="25" t="n"/>
      <c r="H10" s="26">
        <f>IF(OR($D10="",$E10="",$F10=""),"",ROUND($D10*$E10*$F10,0))</f>
        <v/>
      </c>
      <c r="I10" s="27">
        <f>IF(OR($E10="",$F10=""),"",ROUND($F10*(1+$E10/30),1))</f>
        <v/>
      </c>
      <c r="J10" s="28">
        <f>IF($C10="","",_xlfn.MAXIFS($I$9:$I9,$C$9:$C9,$C10))</f>
        <v/>
      </c>
      <c r="K10" s="29">
        <f>IF(OR($C10="",$I10=""),"",IF($I10&gt;$J10,"PR",""))</f>
        <v/>
      </c>
      <c r="L10" s="30">
        <f>IF($B10=$B9,"",IF(SUMIFS($H$10:$H$297,$A$10:$A$297,$A10,$B$10:$B$297,$B10)=0,"",SUMIFS($H$10:$H$297,$A$10:$A$297,$A10,$B$10:$B$297,$B10)))</f>
        <v/>
      </c>
    </row>
    <row r="11">
      <c r="A11" s="31" t="n">
        <v>1</v>
      </c>
      <c r="B11" s="31" t="n">
        <v>1</v>
      </c>
      <c r="C11" s="32" t="n"/>
      <c r="D11" s="18" t="n"/>
      <c r="E11" s="18" t="n"/>
      <c r="F11" s="18" t="n"/>
      <c r="G11" s="18" t="n"/>
      <c r="H11" s="33">
        <f>IF(OR($D11="",$E11="",$F11=""),"",ROUND($D11*$E11*$F11,0))</f>
        <v/>
      </c>
      <c r="I11" s="34">
        <f>IF(OR($E11="",$F11=""),"",ROUND($F11*(1+$E11/30),1))</f>
        <v/>
      </c>
      <c r="J11" s="35">
        <f>IF($C11="","",_xlfn.MAXIFS($I$9:$I10,$C$9:$C10,$C11))</f>
        <v/>
      </c>
      <c r="K11" s="36">
        <f>IF(OR($C11="",$I11=""),"",IF($I11&gt;$J11,"PR",""))</f>
        <v/>
      </c>
      <c r="L11" s="37">
        <f>IF($B11=$B10,"",IF(SUMIFS($H$10:$H$297,$A$10:$A$297,$A11,$B$10:$B$297,$B11)=0,"",SUMIFS($H$10:$H$297,$A$10:$A$297,$A11,$B$10:$B$297,$B11)))</f>
        <v/>
      </c>
    </row>
    <row r="12">
      <c r="A12" s="31" t="n">
        <v>1</v>
      </c>
      <c r="B12" s="31" t="n">
        <v>1</v>
      </c>
      <c r="C12" s="32" t="n"/>
      <c r="D12" s="18" t="n"/>
      <c r="E12" s="18" t="n"/>
      <c r="F12" s="18" t="n"/>
      <c r="G12" s="18" t="n"/>
      <c r="H12" s="33">
        <f>IF(OR($D12="",$E12="",$F12=""),"",ROUND($D12*$E12*$F12,0))</f>
        <v/>
      </c>
      <c r="I12" s="34">
        <f>IF(OR($E12="",$F12=""),"",ROUND($F12*(1+$E12/30),1))</f>
        <v/>
      </c>
      <c r="J12" s="35">
        <f>IF($C12="","",_xlfn.MAXIFS($I$9:$I11,$C$9:$C11,$C12))</f>
        <v/>
      </c>
      <c r="K12" s="36">
        <f>IF(OR($C12="",$I12=""),"",IF($I12&gt;$J12,"PR",""))</f>
        <v/>
      </c>
      <c r="L12" s="37">
        <f>IF($B12=$B11,"",IF(SUMIFS($H$10:$H$297,$A$10:$A$297,$A12,$B$10:$B$297,$B12)=0,"",SUMIFS($H$10:$H$297,$A$10:$A$297,$A12,$B$10:$B$297,$B12)))</f>
        <v/>
      </c>
    </row>
    <row r="13">
      <c r="A13" s="31" t="n">
        <v>1</v>
      </c>
      <c r="B13" s="31" t="n">
        <v>1</v>
      </c>
      <c r="C13" s="32" t="n"/>
      <c r="D13" s="18" t="n"/>
      <c r="E13" s="18" t="n"/>
      <c r="F13" s="18" t="n"/>
      <c r="G13" s="18" t="n"/>
      <c r="H13" s="33">
        <f>IF(OR($D13="",$E13="",$F13=""),"",ROUND($D13*$E13*$F13,0))</f>
        <v/>
      </c>
      <c r="I13" s="34">
        <f>IF(OR($E13="",$F13=""),"",ROUND($F13*(1+$E13/30),1))</f>
        <v/>
      </c>
      <c r="J13" s="35">
        <f>IF($C13="","",_xlfn.MAXIFS($I$9:$I12,$C$9:$C12,$C13))</f>
        <v/>
      </c>
      <c r="K13" s="36">
        <f>IF(OR($C13="",$I13=""),"",IF($I13&gt;$J13,"PR",""))</f>
        <v/>
      </c>
      <c r="L13" s="37">
        <f>IF($B13=$B12,"",IF(SUMIFS($H$10:$H$297,$A$10:$A$297,$A13,$B$10:$B$297,$B13)=0,"",SUMIFS($H$10:$H$297,$A$10:$A$297,$A13,$B$10:$B$297,$B13)))</f>
        <v/>
      </c>
    </row>
    <row r="14">
      <c r="A14" s="31" t="n">
        <v>1</v>
      </c>
      <c r="B14" s="31" t="n">
        <v>1</v>
      </c>
      <c r="C14" s="32" t="n"/>
      <c r="D14" s="18" t="n"/>
      <c r="E14" s="18" t="n"/>
      <c r="F14" s="18" t="n"/>
      <c r="G14" s="18" t="n"/>
      <c r="H14" s="33">
        <f>IF(OR($D14="",$E14="",$F14=""),"",ROUND($D14*$E14*$F14,0))</f>
        <v/>
      </c>
      <c r="I14" s="34">
        <f>IF(OR($E14="",$F14=""),"",ROUND($F14*(1+$E14/30),1))</f>
        <v/>
      </c>
      <c r="J14" s="35">
        <f>IF($C14="","",_xlfn.MAXIFS($I$9:$I13,$C$9:$C13,$C14))</f>
        <v/>
      </c>
      <c r="K14" s="36">
        <f>IF(OR($C14="",$I14=""),"",IF($I14&gt;$J14,"PR",""))</f>
        <v/>
      </c>
      <c r="L14" s="37">
        <f>IF($B14=$B13,"",IF(SUMIFS($H$10:$H$297,$A$10:$A$297,$A14,$B$10:$B$297,$B14)=0,"",SUMIFS($H$10:$H$297,$A$10:$A$297,$A14,$B$10:$B$297,$B14)))</f>
        <v/>
      </c>
    </row>
    <row r="15">
      <c r="A15" s="31" t="n">
        <v>1</v>
      </c>
      <c r="B15" s="31" t="n">
        <v>1</v>
      </c>
      <c r="C15" s="32" t="n"/>
      <c r="D15" s="18" t="n"/>
      <c r="E15" s="18" t="n"/>
      <c r="F15" s="18" t="n"/>
      <c r="G15" s="18" t="n"/>
      <c r="H15" s="33">
        <f>IF(OR($D15="",$E15="",$F15=""),"",ROUND($D15*$E15*$F15,0))</f>
        <v/>
      </c>
      <c r="I15" s="34">
        <f>IF(OR($E15="",$F15=""),"",ROUND($F15*(1+$E15/30),1))</f>
        <v/>
      </c>
      <c r="J15" s="35">
        <f>IF($C15="","",_xlfn.MAXIFS($I$9:$I14,$C$9:$C14,$C15))</f>
        <v/>
      </c>
      <c r="K15" s="36">
        <f>IF(OR($C15="",$I15=""),"",IF($I15&gt;$J15,"PR",""))</f>
        <v/>
      </c>
      <c r="L15" s="37">
        <f>IF($B15=$B14,"",IF(SUMIFS($H$10:$H$297,$A$10:$A$297,$A15,$B$10:$B$297,$B15)=0,"",SUMIFS($H$10:$H$297,$A$10:$A$297,$A15,$B$10:$B$297,$B15)))</f>
        <v/>
      </c>
    </row>
    <row r="16">
      <c r="A16" s="38" t="n">
        <v>1</v>
      </c>
      <c r="B16" s="38" t="n">
        <v>2</v>
      </c>
      <c r="C16" s="39" t="n"/>
      <c r="D16" s="40" t="n"/>
      <c r="E16" s="40" t="n"/>
      <c r="F16" s="40" t="n"/>
      <c r="G16" s="40" t="n"/>
      <c r="H16" s="41">
        <f>IF(OR($D16="",$E16="",$F16=""),"",ROUND($D16*$E16*$F16,0))</f>
        <v/>
      </c>
      <c r="I16" s="42">
        <f>IF(OR($E16="",$F16=""),"",ROUND($F16*(1+$E16/30),1))</f>
        <v/>
      </c>
      <c r="J16" s="43">
        <f>IF($C16="","",_xlfn.MAXIFS($I$9:$I15,$C$9:$C15,$C16))</f>
        <v/>
      </c>
      <c r="K16" s="44">
        <f>IF(OR($C16="",$I16=""),"",IF($I16&gt;$J16,"PR",""))</f>
        <v/>
      </c>
      <c r="L16" s="45">
        <f>IF($B16=$B15,"",IF(SUMIFS($H$10:$H$297,$A$10:$A$297,$A16,$B$10:$B$297,$B16)=0,"",SUMIFS($H$10:$H$297,$A$10:$A$297,$A16,$B$10:$B$297,$B16)))</f>
        <v/>
      </c>
    </row>
    <row r="17">
      <c r="A17" s="31" t="n">
        <v>1</v>
      </c>
      <c r="B17" s="31" t="n">
        <v>2</v>
      </c>
      <c r="C17" s="32" t="n"/>
      <c r="D17" s="18" t="n"/>
      <c r="E17" s="18" t="n"/>
      <c r="F17" s="18" t="n"/>
      <c r="G17" s="18" t="n"/>
      <c r="H17" s="33">
        <f>IF(OR($D17="",$E17="",$F17=""),"",ROUND($D17*$E17*$F17,0))</f>
        <v/>
      </c>
      <c r="I17" s="34">
        <f>IF(OR($E17="",$F17=""),"",ROUND($F17*(1+$E17/30),1))</f>
        <v/>
      </c>
      <c r="J17" s="35">
        <f>IF($C17="","",_xlfn.MAXIFS($I$9:$I16,$C$9:$C16,$C17))</f>
        <v/>
      </c>
      <c r="K17" s="36">
        <f>IF(OR($C17="",$I17=""),"",IF($I17&gt;$J17,"PR",""))</f>
        <v/>
      </c>
      <c r="L17" s="37">
        <f>IF($B17=$B16,"",IF(SUMIFS($H$10:$H$297,$A$10:$A$297,$A17,$B$10:$B$297,$B17)=0,"",SUMIFS($H$10:$H$297,$A$10:$A$297,$A17,$B$10:$B$297,$B17)))</f>
        <v/>
      </c>
    </row>
    <row r="18">
      <c r="A18" s="31" t="n">
        <v>1</v>
      </c>
      <c r="B18" s="31" t="n">
        <v>2</v>
      </c>
      <c r="C18" s="32" t="n"/>
      <c r="D18" s="18" t="n"/>
      <c r="E18" s="18" t="n"/>
      <c r="F18" s="18" t="n"/>
      <c r="G18" s="18" t="n"/>
      <c r="H18" s="33">
        <f>IF(OR($D18="",$E18="",$F18=""),"",ROUND($D18*$E18*$F18,0))</f>
        <v/>
      </c>
      <c r="I18" s="34">
        <f>IF(OR($E18="",$F18=""),"",ROUND($F18*(1+$E18/30),1))</f>
        <v/>
      </c>
      <c r="J18" s="35">
        <f>IF($C18="","",_xlfn.MAXIFS($I$9:$I17,$C$9:$C17,$C18))</f>
        <v/>
      </c>
      <c r="K18" s="36">
        <f>IF(OR($C18="",$I18=""),"",IF($I18&gt;$J18,"PR",""))</f>
        <v/>
      </c>
      <c r="L18" s="37">
        <f>IF($B18=$B17,"",IF(SUMIFS($H$10:$H$297,$A$10:$A$297,$A18,$B$10:$B$297,$B18)=0,"",SUMIFS($H$10:$H$297,$A$10:$A$297,$A18,$B$10:$B$297,$B18)))</f>
        <v/>
      </c>
    </row>
    <row r="19">
      <c r="A19" s="31" t="n">
        <v>1</v>
      </c>
      <c r="B19" s="31" t="n">
        <v>2</v>
      </c>
      <c r="C19" s="32" t="n"/>
      <c r="D19" s="18" t="n"/>
      <c r="E19" s="18" t="n"/>
      <c r="F19" s="18" t="n"/>
      <c r="G19" s="18" t="n"/>
      <c r="H19" s="33">
        <f>IF(OR($D19="",$E19="",$F19=""),"",ROUND($D19*$E19*$F19,0))</f>
        <v/>
      </c>
      <c r="I19" s="34">
        <f>IF(OR($E19="",$F19=""),"",ROUND($F19*(1+$E19/30),1))</f>
        <v/>
      </c>
      <c r="J19" s="35">
        <f>IF($C19="","",_xlfn.MAXIFS($I$9:$I18,$C$9:$C18,$C19))</f>
        <v/>
      </c>
      <c r="K19" s="36">
        <f>IF(OR($C19="",$I19=""),"",IF($I19&gt;$J19,"PR",""))</f>
        <v/>
      </c>
      <c r="L19" s="37">
        <f>IF($B19=$B18,"",IF(SUMIFS($H$10:$H$297,$A$10:$A$297,$A19,$B$10:$B$297,$B19)=0,"",SUMIFS($H$10:$H$297,$A$10:$A$297,$A19,$B$10:$B$297,$B19)))</f>
        <v/>
      </c>
    </row>
    <row r="20">
      <c r="A20" s="31" t="n">
        <v>1</v>
      </c>
      <c r="B20" s="31" t="n">
        <v>2</v>
      </c>
      <c r="C20" s="32" t="n"/>
      <c r="D20" s="18" t="n"/>
      <c r="E20" s="18" t="n"/>
      <c r="F20" s="18" t="n"/>
      <c r="G20" s="18" t="n"/>
      <c r="H20" s="33">
        <f>IF(OR($D20="",$E20="",$F20=""),"",ROUND($D20*$E20*$F20,0))</f>
        <v/>
      </c>
      <c r="I20" s="34">
        <f>IF(OR($E20="",$F20=""),"",ROUND($F20*(1+$E20/30),1))</f>
        <v/>
      </c>
      <c r="J20" s="35">
        <f>IF($C20="","",_xlfn.MAXIFS($I$9:$I19,$C$9:$C19,$C20))</f>
        <v/>
      </c>
      <c r="K20" s="36">
        <f>IF(OR($C20="",$I20=""),"",IF($I20&gt;$J20,"PR",""))</f>
        <v/>
      </c>
      <c r="L20" s="37">
        <f>IF($B20=$B19,"",IF(SUMIFS($H$10:$H$297,$A$10:$A$297,$A20,$B$10:$B$297,$B20)=0,"",SUMIFS($H$10:$H$297,$A$10:$A$297,$A20,$B$10:$B$297,$B20)))</f>
        <v/>
      </c>
    </row>
    <row r="21">
      <c r="A21" s="31" t="n">
        <v>1</v>
      </c>
      <c r="B21" s="31" t="n">
        <v>2</v>
      </c>
      <c r="C21" s="32" t="n"/>
      <c r="D21" s="18" t="n"/>
      <c r="E21" s="18" t="n"/>
      <c r="F21" s="18" t="n"/>
      <c r="G21" s="18" t="n"/>
      <c r="H21" s="33">
        <f>IF(OR($D21="",$E21="",$F21=""),"",ROUND($D21*$E21*$F21,0))</f>
        <v/>
      </c>
      <c r="I21" s="34">
        <f>IF(OR($E21="",$F21=""),"",ROUND($F21*(1+$E21/30),1))</f>
        <v/>
      </c>
      <c r="J21" s="35">
        <f>IF($C21="","",_xlfn.MAXIFS($I$9:$I20,$C$9:$C20,$C21))</f>
        <v/>
      </c>
      <c r="K21" s="36">
        <f>IF(OR($C21="",$I21=""),"",IF($I21&gt;$J21,"PR",""))</f>
        <v/>
      </c>
      <c r="L21" s="37">
        <f>IF($B21=$B20,"",IF(SUMIFS($H$10:$H$297,$A$10:$A$297,$A21,$B$10:$B$297,$B21)=0,"",SUMIFS($H$10:$H$297,$A$10:$A$297,$A21,$B$10:$B$297,$B21)))</f>
        <v/>
      </c>
    </row>
    <row r="22">
      <c r="A22" s="38" t="n">
        <v>1</v>
      </c>
      <c r="B22" s="38" t="n">
        <v>3</v>
      </c>
      <c r="C22" s="39" t="n"/>
      <c r="D22" s="40" t="n"/>
      <c r="E22" s="40" t="n"/>
      <c r="F22" s="40" t="n"/>
      <c r="G22" s="40" t="n"/>
      <c r="H22" s="41">
        <f>IF(OR($D22="",$E22="",$F22=""),"",ROUND($D22*$E22*$F22,0))</f>
        <v/>
      </c>
      <c r="I22" s="42">
        <f>IF(OR($E22="",$F22=""),"",ROUND($F22*(1+$E22/30),1))</f>
        <v/>
      </c>
      <c r="J22" s="43">
        <f>IF($C22="","",_xlfn.MAXIFS($I$9:$I21,$C$9:$C21,$C22))</f>
        <v/>
      </c>
      <c r="K22" s="44">
        <f>IF(OR($C22="",$I22=""),"",IF($I22&gt;$J22,"PR",""))</f>
        <v/>
      </c>
      <c r="L22" s="45">
        <f>IF($B22=$B21,"",IF(SUMIFS($H$10:$H$297,$A$10:$A$297,$A22,$B$10:$B$297,$B22)=0,"",SUMIFS($H$10:$H$297,$A$10:$A$297,$A22,$B$10:$B$297,$B22)))</f>
        <v/>
      </c>
    </row>
    <row r="23">
      <c r="A23" s="31" t="n">
        <v>1</v>
      </c>
      <c r="B23" s="31" t="n">
        <v>3</v>
      </c>
      <c r="C23" s="32" t="n"/>
      <c r="D23" s="18" t="n"/>
      <c r="E23" s="18" t="n"/>
      <c r="F23" s="18" t="n"/>
      <c r="G23" s="18" t="n"/>
      <c r="H23" s="33">
        <f>IF(OR($D23="",$E23="",$F23=""),"",ROUND($D23*$E23*$F23,0))</f>
        <v/>
      </c>
      <c r="I23" s="34">
        <f>IF(OR($E23="",$F23=""),"",ROUND($F23*(1+$E23/30),1))</f>
        <v/>
      </c>
      <c r="J23" s="35">
        <f>IF($C23="","",_xlfn.MAXIFS($I$9:$I22,$C$9:$C22,$C23))</f>
        <v/>
      </c>
      <c r="K23" s="36">
        <f>IF(OR($C23="",$I23=""),"",IF($I23&gt;$J23,"PR",""))</f>
        <v/>
      </c>
      <c r="L23" s="37">
        <f>IF($B23=$B22,"",IF(SUMIFS($H$10:$H$297,$A$10:$A$297,$A23,$B$10:$B$297,$B23)=0,"",SUMIFS($H$10:$H$297,$A$10:$A$297,$A23,$B$10:$B$297,$B23)))</f>
        <v/>
      </c>
    </row>
    <row r="24">
      <c r="A24" s="31" t="n">
        <v>1</v>
      </c>
      <c r="B24" s="31" t="n">
        <v>3</v>
      </c>
      <c r="C24" s="32" t="n"/>
      <c r="D24" s="18" t="n"/>
      <c r="E24" s="18" t="n"/>
      <c r="F24" s="18" t="n"/>
      <c r="G24" s="18" t="n"/>
      <c r="H24" s="33">
        <f>IF(OR($D24="",$E24="",$F24=""),"",ROUND($D24*$E24*$F24,0))</f>
        <v/>
      </c>
      <c r="I24" s="34">
        <f>IF(OR($E24="",$F24=""),"",ROUND($F24*(1+$E24/30),1))</f>
        <v/>
      </c>
      <c r="J24" s="35">
        <f>IF($C24="","",_xlfn.MAXIFS($I$9:$I23,$C$9:$C23,$C24))</f>
        <v/>
      </c>
      <c r="K24" s="36">
        <f>IF(OR($C24="",$I24=""),"",IF($I24&gt;$J24,"PR",""))</f>
        <v/>
      </c>
      <c r="L24" s="37">
        <f>IF($B24=$B23,"",IF(SUMIFS($H$10:$H$297,$A$10:$A$297,$A24,$B$10:$B$297,$B24)=0,"",SUMIFS($H$10:$H$297,$A$10:$A$297,$A24,$B$10:$B$297,$B24)))</f>
        <v/>
      </c>
    </row>
    <row r="25">
      <c r="A25" s="31" t="n">
        <v>1</v>
      </c>
      <c r="B25" s="31" t="n">
        <v>3</v>
      </c>
      <c r="C25" s="32" t="n"/>
      <c r="D25" s="18" t="n"/>
      <c r="E25" s="18" t="n"/>
      <c r="F25" s="18" t="n"/>
      <c r="G25" s="18" t="n"/>
      <c r="H25" s="33">
        <f>IF(OR($D25="",$E25="",$F25=""),"",ROUND($D25*$E25*$F25,0))</f>
        <v/>
      </c>
      <c r="I25" s="34">
        <f>IF(OR($E25="",$F25=""),"",ROUND($F25*(1+$E25/30),1))</f>
        <v/>
      </c>
      <c r="J25" s="35">
        <f>IF($C25="","",_xlfn.MAXIFS($I$9:$I24,$C$9:$C24,$C25))</f>
        <v/>
      </c>
      <c r="K25" s="36">
        <f>IF(OR($C25="",$I25=""),"",IF($I25&gt;$J25,"PR",""))</f>
        <v/>
      </c>
      <c r="L25" s="37">
        <f>IF($B25=$B24,"",IF(SUMIFS($H$10:$H$297,$A$10:$A$297,$A25,$B$10:$B$297,$B25)=0,"",SUMIFS($H$10:$H$297,$A$10:$A$297,$A25,$B$10:$B$297,$B25)))</f>
        <v/>
      </c>
    </row>
    <row r="26">
      <c r="A26" s="31" t="n">
        <v>1</v>
      </c>
      <c r="B26" s="31" t="n">
        <v>3</v>
      </c>
      <c r="C26" s="32" t="n"/>
      <c r="D26" s="18" t="n"/>
      <c r="E26" s="18" t="n"/>
      <c r="F26" s="18" t="n"/>
      <c r="G26" s="18" t="n"/>
      <c r="H26" s="33">
        <f>IF(OR($D26="",$E26="",$F26=""),"",ROUND($D26*$E26*$F26,0))</f>
        <v/>
      </c>
      <c r="I26" s="34">
        <f>IF(OR($E26="",$F26=""),"",ROUND($F26*(1+$E26/30),1))</f>
        <v/>
      </c>
      <c r="J26" s="35">
        <f>IF($C26="","",_xlfn.MAXIFS($I$9:$I25,$C$9:$C25,$C26))</f>
        <v/>
      </c>
      <c r="K26" s="36">
        <f>IF(OR($C26="",$I26=""),"",IF($I26&gt;$J26,"PR",""))</f>
        <v/>
      </c>
      <c r="L26" s="37">
        <f>IF($B26=$B25,"",IF(SUMIFS($H$10:$H$297,$A$10:$A$297,$A26,$B$10:$B$297,$B26)=0,"",SUMIFS($H$10:$H$297,$A$10:$A$297,$A26,$B$10:$B$297,$B26)))</f>
        <v/>
      </c>
    </row>
    <row r="27">
      <c r="A27" s="31" t="n">
        <v>1</v>
      </c>
      <c r="B27" s="31" t="n">
        <v>3</v>
      </c>
      <c r="C27" s="32" t="n"/>
      <c r="D27" s="18" t="n"/>
      <c r="E27" s="18" t="n"/>
      <c r="F27" s="18" t="n"/>
      <c r="G27" s="18" t="n"/>
      <c r="H27" s="33">
        <f>IF(OR($D27="",$E27="",$F27=""),"",ROUND($D27*$E27*$F27,0))</f>
        <v/>
      </c>
      <c r="I27" s="34">
        <f>IF(OR($E27="",$F27=""),"",ROUND($F27*(1+$E27/30),1))</f>
        <v/>
      </c>
      <c r="J27" s="35">
        <f>IF($C27="","",_xlfn.MAXIFS($I$9:$I26,$C$9:$C26,$C27))</f>
        <v/>
      </c>
      <c r="K27" s="36">
        <f>IF(OR($C27="",$I27=""),"",IF($I27&gt;$J27,"PR",""))</f>
        <v/>
      </c>
      <c r="L27" s="37">
        <f>IF($B27=$B26,"",IF(SUMIFS($H$10:$H$297,$A$10:$A$297,$A27,$B$10:$B$297,$B27)=0,"",SUMIFS($H$10:$H$297,$A$10:$A$297,$A27,$B$10:$B$297,$B27)))</f>
        <v/>
      </c>
    </row>
    <row r="28">
      <c r="A28" s="38" t="n">
        <v>1</v>
      </c>
      <c r="B28" s="38" t="n">
        <v>4</v>
      </c>
      <c r="C28" s="39" t="n"/>
      <c r="D28" s="40" t="n"/>
      <c r="E28" s="40" t="n"/>
      <c r="F28" s="40" t="n"/>
      <c r="G28" s="40" t="n"/>
      <c r="H28" s="41">
        <f>IF(OR($D28="",$E28="",$F28=""),"",ROUND($D28*$E28*$F28,0))</f>
        <v/>
      </c>
      <c r="I28" s="42">
        <f>IF(OR($E28="",$F28=""),"",ROUND($F28*(1+$E28/30),1))</f>
        <v/>
      </c>
      <c r="J28" s="43">
        <f>IF($C28="","",_xlfn.MAXIFS($I$9:$I27,$C$9:$C27,$C28))</f>
        <v/>
      </c>
      <c r="K28" s="44">
        <f>IF(OR($C28="",$I28=""),"",IF($I28&gt;$J28,"PR",""))</f>
        <v/>
      </c>
      <c r="L28" s="45">
        <f>IF($B28=$B27,"",IF(SUMIFS($H$10:$H$297,$A$10:$A$297,$A28,$B$10:$B$297,$B28)=0,"",SUMIFS($H$10:$H$297,$A$10:$A$297,$A28,$B$10:$B$297,$B28)))</f>
        <v/>
      </c>
    </row>
    <row r="29">
      <c r="A29" s="31" t="n">
        <v>1</v>
      </c>
      <c r="B29" s="31" t="n">
        <v>4</v>
      </c>
      <c r="C29" s="32" t="n"/>
      <c r="D29" s="18" t="n"/>
      <c r="E29" s="18" t="n"/>
      <c r="F29" s="18" t="n"/>
      <c r="G29" s="18" t="n"/>
      <c r="H29" s="33">
        <f>IF(OR($D29="",$E29="",$F29=""),"",ROUND($D29*$E29*$F29,0))</f>
        <v/>
      </c>
      <c r="I29" s="34">
        <f>IF(OR($E29="",$F29=""),"",ROUND($F29*(1+$E29/30),1))</f>
        <v/>
      </c>
      <c r="J29" s="35">
        <f>IF($C29="","",_xlfn.MAXIFS($I$9:$I28,$C$9:$C28,$C29))</f>
        <v/>
      </c>
      <c r="K29" s="36">
        <f>IF(OR($C29="",$I29=""),"",IF($I29&gt;$J29,"PR",""))</f>
        <v/>
      </c>
      <c r="L29" s="37">
        <f>IF($B29=$B28,"",IF(SUMIFS($H$10:$H$297,$A$10:$A$297,$A29,$B$10:$B$297,$B29)=0,"",SUMIFS($H$10:$H$297,$A$10:$A$297,$A29,$B$10:$B$297,$B29)))</f>
        <v/>
      </c>
    </row>
    <row r="30">
      <c r="A30" s="31" t="n">
        <v>1</v>
      </c>
      <c r="B30" s="31" t="n">
        <v>4</v>
      </c>
      <c r="C30" s="32" t="n"/>
      <c r="D30" s="18" t="n"/>
      <c r="E30" s="18" t="n"/>
      <c r="F30" s="18" t="n"/>
      <c r="G30" s="18" t="n"/>
      <c r="H30" s="33">
        <f>IF(OR($D30="",$E30="",$F30=""),"",ROUND($D30*$E30*$F30,0))</f>
        <v/>
      </c>
      <c r="I30" s="34">
        <f>IF(OR($E30="",$F30=""),"",ROUND($F30*(1+$E30/30),1))</f>
        <v/>
      </c>
      <c r="J30" s="35">
        <f>IF($C30="","",_xlfn.MAXIFS($I$9:$I29,$C$9:$C29,$C30))</f>
        <v/>
      </c>
      <c r="K30" s="36">
        <f>IF(OR($C30="",$I30=""),"",IF($I30&gt;$J30,"PR",""))</f>
        <v/>
      </c>
      <c r="L30" s="37">
        <f>IF($B30=$B29,"",IF(SUMIFS($H$10:$H$297,$A$10:$A$297,$A30,$B$10:$B$297,$B30)=0,"",SUMIFS($H$10:$H$297,$A$10:$A$297,$A30,$B$10:$B$297,$B30)))</f>
        <v/>
      </c>
    </row>
    <row r="31">
      <c r="A31" s="31" t="n">
        <v>1</v>
      </c>
      <c r="B31" s="31" t="n">
        <v>4</v>
      </c>
      <c r="C31" s="32" t="n"/>
      <c r="D31" s="18" t="n"/>
      <c r="E31" s="18" t="n"/>
      <c r="F31" s="18" t="n"/>
      <c r="G31" s="18" t="n"/>
      <c r="H31" s="33">
        <f>IF(OR($D31="",$E31="",$F31=""),"",ROUND($D31*$E31*$F31,0))</f>
        <v/>
      </c>
      <c r="I31" s="34">
        <f>IF(OR($E31="",$F31=""),"",ROUND($F31*(1+$E31/30),1))</f>
        <v/>
      </c>
      <c r="J31" s="35">
        <f>IF($C31="","",_xlfn.MAXIFS($I$9:$I30,$C$9:$C30,$C31))</f>
        <v/>
      </c>
      <c r="K31" s="36">
        <f>IF(OR($C31="",$I31=""),"",IF($I31&gt;$J31,"PR",""))</f>
        <v/>
      </c>
      <c r="L31" s="37">
        <f>IF($B31=$B30,"",IF(SUMIFS($H$10:$H$297,$A$10:$A$297,$A31,$B$10:$B$297,$B31)=0,"",SUMIFS($H$10:$H$297,$A$10:$A$297,$A31,$B$10:$B$297,$B31)))</f>
        <v/>
      </c>
    </row>
    <row r="32">
      <c r="A32" s="31" t="n">
        <v>1</v>
      </c>
      <c r="B32" s="31" t="n">
        <v>4</v>
      </c>
      <c r="C32" s="32" t="n"/>
      <c r="D32" s="18" t="n"/>
      <c r="E32" s="18" t="n"/>
      <c r="F32" s="18" t="n"/>
      <c r="G32" s="18" t="n"/>
      <c r="H32" s="33">
        <f>IF(OR($D32="",$E32="",$F32=""),"",ROUND($D32*$E32*$F32,0))</f>
        <v/>
      </c>
      <c r="I32" s="34">
        <f>IF(OR($E32="",$F32=""),"",ROUND($F32*(1+$E32/30),1))</f>
        <v/>
      </c>
      <c r="J32" s="35">
        <f>IF($C32="","",_xlfn.MAXIFS($I$9:$I31,$C$9:$C31,$C32))</f>
        <v/>
      </c>
      <c r="K32" s="36">
        <f>IF(OR($C32="",$I32=""),"",IF($I32&gt;$J32,"PR",""))</f>
        <v/>
      </c>
      <c r="L32" s="37">
        <f>IF($B32=$B31,"",IF(SUMIFS($H$10:$H$297,$A$10:$A$297,$A32,$B$10:$B$297,$B32)=0,"",SUMIFS($H$10:$H$297,$A$10:$A$297,$A32,$B$10:$B$297,$B32)))</f>
        <v/>
      </c>
    </row>
    <row r="33">
      <c r="A33" s="31" t="n">
        <v>1</v>
      </c>
      <c r="B33" s="31" t="n">
        <v>4</v>
      </c>
      <c r="C33" s="32" t="n"/>
      <c r="D33" s="18" t="n"/>
      <c r="E33" s="18" t="n"/>
      <c r="F33" s="18" t="n"/>
      <c r="G33" s="18" t="n"/>
      <c r="H33" s="33">
        <f>IF(OR($D33="",$E33="",$F33=""),"",ROUND($D33*$E33*$F33,0))</f>
        <v/>
      </c>
      <c r="I33" s="34">
        <f>IF(OR($E33="",$F33=""),"",ROUND($F33*(1+$E33/30),1))</f>
        <v/>
      </c>
      <c r="J33" s="35">
        <f>IF($C33="","",_xlfn.MAXIFS($I$9:$I32,$C$9:$C32,$C33))</f>
        <v/>
      </c>
      <c r="K33" s="36">
        <f>IF(OR($C33="",$I33=""),"",IF($I33&gt;$J33,"PR",""))</f>
        <v/>
      </c>
      <c r="L33" s="37">
        <f>IF($B33=$B32,"",IF(SUMIFS($H$10:$H$297,$A$10:$A$297,$A33,$B$10:$B$297,$B33)=0,"",SUMIFS($H$10:$H$297,$A$10:$A$297,$A33,$B$10:$B$297,$B33)))</f>
        <v/>
      </c>
    </row>
    <row r="34">
      <c r="A34" s="23" t="n">
        <v>2</v>
      </c>
      <c r="B34" s="23" t="n">
        <v>1</v>
      </c>
      <c r="C34" s="24" t="n"/>
      <c r="D34" s="25" t="n"/>
      <c r="E34" s="25" t="n"/>
      <c r="F34" s="25" t="n"/>
      <c r="G34" s="25" t="n"/>
      <c r="H34" s="26">
        <f>IF(OR($D34="",$E34="",$F34=""),"",ROUND($D34*$E34*$F34,0))</f>
        <v/>
      </c>
      <c r="I34" s="27">
        <f>IF(OR($E34="",$F34=""),"",ROUND($F34*(1+$E34/30),1))</f>
        <v/>
      </c>
      <c r="J34" s="28">
        <f>IF($C34="","",_xlfn.MAXIFS($I$9:$I33,$C$9:$C33,$C34))</f>
        <v/>
      </c>
      <c r="K34" s="29">
        <f>IF(OR($C34="",$I34=""),"",IF($I34&gt;$J34,"PR",""))</f>
        <v/>
      </c>
      <c r="L34" s="30">
        <f>IF($B34=$B33,"",IF(SUMIFS($H$10:$H$297,$A$10:$A$297,$A34,$B$10:$B$297,$B34)=0,"",SUMIFS($H$10:$H$297,$A$10:$A$297,$A34,$B$10:$B$297,$B34)))</f>
        <v/>
      </c>
    </row>
    <row r="35">
      <c r="A35" s="31" t="n">
        <v>2</v>
      </c>
      <c r="B35" s="31" t="n">
        <v>1</v>
      </c>
      <c r="C35" s="32" t="n"/>
      <c r="D35" s="18" t="n"/>
      <c r="E35" s="18" t="n"/>
      <c r="F35" s="18" t="n"/>
      <c r="G35" s="18" t="n"/>
      <c r="H35" s="33">
        <f>IF(OR($D35="",$E35="",$F35=""),"",ROUND($D35*$E35*$F35,0))</f>
        <v/>
      </c>
      <c r="I35" s="34">
        <f>IF(OR($E35="",$F35=""),"",ROUND($F35*(1+$E35/30),1))</f>
        <v/>
      </c>
      <c r="J35" s="35">
        <f>IF($C35="","",_xlfn.MAXIFS($I$9:$I34,$C$9:$C34,$C35))</f>
        <v/>
      </c>
      <c r="K35" s="36">
        <f>IF(OR($C35="",$I35=""),"",IF($I35&gt;$J35,"PR",""))</f>
        <v/>
      </c>
      <c r="L35" s="37">
        <f>IF($B35=$B34,"",IF(SUMIFS($H$10:$H$297,$A$10:$A$297,$A35,$B$10:$B$297,$B35)=0,"",SUMIFS($H$10:$H$297,$A$10:$A$297,$A35,$B$10:$B$297,$B35)))</f>
        <v/>
      </c>
    </row>
    <row r="36">
      <c r="A36" s="31" t="n">
        <v>2</v>
      </c>
      <c r="B36" s="31" t="n">
        <v>1</v>
      </c>
      <c r="C36" s="32" t="n"/>
      <c r="D36" s="18" t="n"/>
      <c r="E36" s="18" t="n"/>
      <c r="F36" s="18" t="n"/>
      <c r="G36" s="18" t="n"/>
      <c r="H36" s="33">
        <f>IF(OR($D36="",$E36="",$F36=""),"",ROUND($D36*$E36*$F36,0))</f>
        <v/>
      </c>
      <c r="I36" s="34">
        <f>IF(OR($E36="",$F36=""),"",ROUND($F36*(1+$E36/30),1))</f>
        <v/>
      </c>
      <c r="J36" s="35">
        <f>IF($C36="","",_xlfn.MAXIFS($I$9:$I35,$C$9:$C35,$C36))</f>
        <v/>
      </c>
      <c r="K36" s="36">
        <f>IF(OR($C36="",$I36=""),"",IF($I36&gt;$J36,"PR",""))</f>
        <v/>
      </c>
      <c r="L36" s="37">
        <f>IF($B36=$B35,"",IF(SUMIFS($H$10:$H$297,$A$10:$A$297,$A36,$B$10:$B$297,$B36)=0,"",SUMIFS($H$10:$H$297,$A$10:$A$297,$A36,$B$10:$B$297,$B36)))</f>
        <v/>
      </c>
    </row>
    <row r="37">
      <c r="A37" s="31" t="n">
        <v>2</v>
      </c>
      <c r="B37" s="31" t="n">
        <v>1</v>
      </c>
      <c r="C37" s="32" t="n"/>
      <c r="D37" s="18" t="n"/>
      <c r="E37" s="18" t="n"/>
      <c r="F37" s="18" t="n"/>
      <c r="G37" s="18" t="n"/>
      <c r="H37" s="33">
        <f>IF(OR($D37="",$E37="",$F37=""),"",ROUND($D37*$E37*$F37,0))</f>
        <v/>
      </c>
      <c r="I37" s="34">
        <f>IF(OR($E37="",$F37=""),"",ROUND($F37*(1+$E37/30),1))</f>
        <v/>
      </c>
      <c r="J37" s="35">
        <f>IF($C37="","",_xlfn.MAXIFS($I$9:$I36,$C$9:$C36,$C37))</f>
        <v/>
      </c>
      <c r="K37" s="36">
        <f>IF(OR($C37="",$I37=""),"",IF($I37&gt;$J37,"PR",""))</f>
        <v/>
      </c>
      <c r="L37" s="37">
        <f>IF($B37=$B36,"",IF(SUMIFS($H$10:$H$297,$A$10:$A$297,$A37,$B$10:$B$297,$B37)=0,"",SUMIFS($H$10:$H$297,$A$10:$A$297,$A37,$B$10:$B$297,$B37)))</f>
        <v/>
      </c>
    </row>
    <row r="38">
      <c r="A38" s="31" t="n">
        <v>2</v>
      </c>
      <c r="B38" s="31" t="n">
        <v>1</v>
      </c>
      <c r="C38" s="32" t="n"/>
      <c r="D38" s="18" t="n"/>
      <c r="E38" s="18" t="n"/>
      <c r="F38" s="18" t="n"/>
      <c r="G38" s="18" t="n"/>
      <c r="H38" s="33">
        <f>IF(OR($D38="",$E38="",$F38=""),"",ROUND($D38*$E38*$F38,0))</f>
        <v/>
      </c>
      <c r="I38" s="34">
        <f>IF(OR($E38="",$F38=""),"",ROUND($F38*(1+$E38/30),1))</f>
        <v/>
      </c>
      <c r="J38" s="35">
        <f>IF($C38="","",_xlfn.MAXIFS($I$9:$I37,$C$9:$C37,$C38))</f>
        <v/>
      </c>
      <c r="K38" s="36">
        <f>IF(OR($C38="",$I38=""),"",IF($I38&gt;$J38,"PR",""))</f>
        <v/>
      </c>
      <c r="L38" s="37">
        <f>IF($B38=$B37,"",IF(SUMIFS($H$10:$H$297,$A$10:$A$297,$A38,$B$10:$B$297,$B38)=0,"",SUMIFS($H$10:$H$297,$A$10:$A$297,$A38,$B$10:$B$297,$B38)))</f>
        <v/>
      </c>
    </row>
    <row r="39">
      <c r="A39" s="31" t="n">
        <v>2</v>
      </c>
      <c r="B39" s="31" t="n">
        <v>1</v>
      </c>
      <c r="C39" s="32" t="n"/>
      <c r="D39" s="18" t="n"/>
      <c r="E39" s="18" t="n"/>
      <c r="F39" s="18" t="n"/>
      <c r="G39" s="18" t="n"/>
      <c r="H39" s="33">
        <f>IF(OR($D39="",$E39="",$F39=""),"",ROUND($D39*$E39*$F39,0))</f>
        <v/>
      </c>
      <c r="I39" s="34">
        <f>IF(OR($E39="",$F39=""),"",ROUND($F39*(1+$E39/30),1))</f>
        <v/>
      </c>
      <c r="J39" s="35">
        <f>IF($C39="","",_xlfn.MAXIFS($I$9:$I38,$C$9:$C38,$C39))</f>
        <v/>
      </c>
      <c r="K39" s="36">
        <f>IF(OR($C39="",$I39=""),"",IF($I39&gt;$J39,"PR",""))</f>
        <v/>
      </c>
      <c r="L39" s="37">
        <f>IF($B39=$B38,"",IF(SUMIFS($H$10:$H$297,$A$10:$A$297,$A39,$B$10:$B$297,$B39)=0,"",SUMIFS($H$10:$H$297,$A$10:$A$297,$A39,$B$10:$B$297,$B39)))</f>
        <v/>
      </c>
    </row>
    <row r="40">
      <c r="A40" s="38" t="n">
        <v>2</v>
      </c>
      <c r="B40" s="38" t="n">
        <v>2</v>
      </c>
      <c r="C40" s="39" t="n"/>
      <c r="D40" s="40" t="n"/>
      <c r="E40" s="40" t="n"/>
      <c r="F40" s="40" t="n"/>
      <c r="G40" s="40" t="n"/>
      <c r="H40" s="41">
        <f>IF(OR($D40="",$E40="",$F40=""),"",ROUND($D40*$E40*$F40,0))</f>
        <v/>
      </c>
      <c r="I40" s="42">
        <f>IF(OR($E40="",$F40=""),"",ROUND($F40*(1+$E40/30),1))</f>
        <v/>
      </c>
      <c r="J40" s="43">
        <f>IF($C40="","",_xlfn.MAXIFS($I$9:$I39,$C$9:$C39,$C40))</f>
        <v/>
      </c>
      <c r="K40" s="44">
        <f>IF(OR($C40="",$I40=""),"",IF($I40&gt;$J40,"PR",""))</f>
        <v/>
      </c>
      <c r="L40" s="45">
        <f>IF($B40=$B39,"",IF(SUMIFS($H$10:$H$297,$A$10:$A$297,$A40,$B$10:$B$297,$B40)=0,"",SUMIFS($H$10:$H$297,$A$10:$A$297,$A40,$B$10:$B$297,$B40)))</f>
        <v/>
      </c>
    </row>
    <row r="41">
      <c r="A41" s="31" t="n">
        <v>2</v>
      </c>
      <c r="B41" s="31" t="n">
        <v>2</v>
      </c>
      <c r="C41" s="32" t="n"/>
      <c r="D41" s="18" t="n"/>
      <c r="E41" s="18" t="n"/>
      <c r="F41" s="18" t="n"/>
      <c r="G41" s="18" t="n"/>
      <c r="H41" s="33">
        <f>IF(OR($D41="",$E41="",$F41=""),"",ROUND($D41*$E41*$F41,0))</f>
        <v/>
      </c>
      <c r="I41" s="34">
        <f>IF(OR($E41="",$F41=""),"",ROUND($F41*(1+$E41/30),1))</f>
        <v/>
      </c>
      <c r="J41" s="35">
        <f>IF($C41="","",_xlfn.MAXIFS($I$9:$I40,$C$9:$C40,$C41))</f>
        <v/>
      </c>
      <c r="K41" s="36">
        <f>IF(OR($C41="",$I41=""),"",IF($I41&gt;$J41,"PR",""))</f>
        <v/>
      </c>
      <c r="L41" s="37">
        <f>IF($B41=$B40,"",IF(SUMIFS($H$10:$H$297,$A$10:$A$297,$A41,$B$10:$B$297,$B41)=0,"",SUMIFS($H$10:$H$297,$A$10:$A$297,$A41,$B$10:$B$297,$B41)))</f>
        <v/>
      </c>
    </row>
    <row r="42">
      <c r="A42" s="31" t="n">
        <v>2</v>
      </c>
      <c r="B42" s="31" t="n">
        <v>2</v>
      </c>
      <c r="C42" s="32" t="n"/>
      <c r="D42" s="18" t="n"/>
      <c r="E42" s="18" t="n"/>
      <c r="F42" s="18" t="n"/>
      <c r="G42" s="18" t="n"/>
      <c r="H42" s="33">
        <f>IF(OR($D42="",$E42="",$F42=""),"",ROUND($D42*$E42*$F42,0))</f>
        <v/>
      </c>
      <c r="I42" s="34">
        <f>IF(OR($E42="",$F42=""),"",ROUND($F42*(1+$E42/30),1))</f>
        <v/>
      </c>
      <c r="J42" s="35">
        <f>IF($C42="","",_xlfn.MAXIFS($I$9:$I41,$C$9:$C41,$C42))</f>
        <v/>
      </c>
      <c r="K42" s="36">
        <f>IF(OR($C42="",$I42=""),"",IF($I42&gt;$J42,"PR",""))</f>
        <v/>
      </c>
      <c r="L42" s="37">
        <f>IF($B42=$B41,"",IF(SUMIFS($H$10:$H$297,$A$10:$A$297,$A42,$B$10:$B$297,$B42)=0,"",SUMIFS($H$10:$H$297,$A$10:$A$297,$A42,$B$10:$B$297,$B42)))</f>
        <v/>
      </c>
    </row>
    <row r="43">
      <c r="A43" s="31" t="n">
        <v>2</v>
      </c>
      <c r="B43" s="31" t="n">
        <v>2</v>
      </c>
      <c r="C43" s="32" t="n"/>
      <c r="D43" s="18" t="n"/>
      <c r="E43" s="18" t="n"/>
      <c r="F43" s="18" t="n"/>
      <c r="G43" s="18" t="n"/>
      <c r="H43" s="33">
        <f>IF(OR($D43="",$E43="",$F43=""),"",ROUND($D43*$E43*$F43,0))</f>
        <v/>
      </c>
      <c r="I43" s="34">
        <f>IF(OR($E43="",$F43=""),"",ROUND($F43*(1+$E43/30),1))</f>
        <v/>
      </c>
      <c r="J43" s="35">
        <f>IF($C43="","",_xlfn.MAXIFS($I$9:$I42,$C$9:$C42,$C43))</f>
        <v/>
      </c>
      <c r="K43" s="36">
        <f>IF(OR($C43="",$I43=""),"",IF($I43&gt;$J43,"PR",""))</f>
        <v/>
      </c>
      <c r="L43" s="37">
        <f>IF($B43=$B42,"",IF(SUMIFS($H$10:$H$297,$A$10:$A$297,$A43,$B$10:$B$297,$B43)=0,"",SUMIFS($H$10:$H$297,$A$10:$A$297,$A43,$B$10:$B$297,$B43)))</f>
        <v/>
      </c>
    </row>
    <row r="44">
      <c r="A44" s="31" t="n">
        <v>2</v>
      </c>
      <c r="B44" s="31" t="n">
        <v>2</v>
      </c>
      <c r="C44" s="32" t="n"/>
      <c r="D44" s="18" t="n"/>
      <c r="E44" s="18" t="n"/>
      <c r="F44" s="18" t="n"/>
      <c r="G44" s="18" t="n"/>
      <c r="H44" s="33">
        <f>IF(OR($D44="",$E44="",$F44=""),"",ROUND($D44*$E44*$F44,0))</f>
        <v/>
      </c>
      <c r="I44" s="34">
        <f>IF(OR($E44="",$F44=""),"",ROUND($F44*(1+$E44/30),1))</f>
        <v/>
      </c>
      <c r="J44" s="35">
        <f>IF($C44="","",_xlfn.MAXIFS($I$9:$I43,$C$9:$C43,$C44))</f>
        <v/>
      </c>
      <c r="K44" s="36">
        <f>IF(OR($C44="",$I44=""),"",IF($I44&gt;$J44,"PR",""))</f>
        <v/>
      </c>
      <c r="L44" s="37">
        <f>IF($B44=$B43,"",IF(SUMIFS($H$10:$H$297,$A$10:$A$297,$A44,$B$10:$B$297,$B44)=0,"",SUMIFS($H$10:$H$297,$A$10:$A$297,$A44,$B$10:$B$297,$B44)))</f>
        <v/>
      </c>
    </row>
    <row r="45">
      <c r="A45" s="31" t="n">
        <v>2</v>
      </c>
      <c r="B45" s="31" t="n">
        <v>2</v>
      </c>
      <c r="C45" s="32" t="n"/>
      <c r="D45" s="18" t="n"/>
      <c r="E45" s="18" t="n"/>
      <c r="F45" s="18" t="n"/>
      <c r="G45" s="18" t="n"/>
      <c r="H45" s="33">
        <f>IF(OR($D45="",$E45="",$F45=""),"",ROUND($D45*$E45*$F45,0))</f>
        <v/>
      </c>
      <c r="I45" s="34">
        <f>IF(OR($E45="",$F45=""),"",ROUND($F45*(1+$E45/30),1))</f>
        <v/>
      </c>
      <c r="J45" s="35">
        <f>IF($C45="","",_xlfn.MAXIFS($I$9:$I44,$C$9:$C44,$C45))</f>
        <v/>
      </c>
      <c r="K45" s="36">
        <f>IF(OR($C45="",$I45=""),"",IF($I45&gt;$J45,"PR",""))</f>
        <v/>
      </c>
      <c r="L45" s="37">
        <f>IF($B45=$B44,"",IF(SUMIFS($H$10:$H$297,$A$10:$A$297,$A45,$B$10:$B$297,$B45)=0,"",SUMIFS($H$10:$H$297,$A$10:$A$297,$A45,$B$10:$B$297,$B45)))</f>
        <v/>
      </c>
    </row>
    <row r="46">
      <c r="A46" s="38" t="n">
        <v>2</v>
      </c>
      <c r="B46" s="38" t="n">
        <v>3</v>
      </c>
      <c r="C46" s="39" t="n"/>
      <c r="D46" s="40" t="n"/>
      <c r="E46" s="40" t="n"/>
      <c r="F46" s="40" t="n"/>
      <c r="G46" s="40" t="n"/>
      <c r="H46" s="41">
        <f>IF(OR($D46="",$E46="",$F46=""),"",ROUND($D46*$E46*$F46,0))</f>
        <v/>
      </c>
      <c r="I46" s="42">
        <f>IF(OR($E46="",$F46=""),"",ROUND($F46*(1+$E46/30),1))</f>
        <v/>
      </c>
      <c r="J46" s="43">
        <f>IF($C46="","",_xlfn.MAXIFS($I$9:$I45,$C$9:$C45,$C46))</f>
        <v/>
      </c>
      <c r="K46" s="44">
        <f>IF(OR($C46="",$I46=""),"",IF($I46&gt;$J46,"PR",""))</f>
        <v/>
      </c>
      <c r="L46" s="45">
        <f>IF($B46=$B45,"",IF(SUMIFS($H$10:$H$297,$A$10:$A$297,$A46,$B$10:$B$297,$B46)=0,"",SUMIFS($H$10:$H$297,$A$10:$A$297,$A46,$B$10:$B$297,$B46)))</f>
        <v/>
      </c>
    </row>
    <row r="47">
      <c r="A47" s="31" t="n">
        <v>2</v>
      </c>
      <c r="B47" s="31" t="n">
        <v>3</v>
      </c>
      <c r="C47" s="32" t="n"/>
      <c r="D47" s="18" t="n"/>
      <c r="E47" s="18" t="n"/>
      <c r="F47" s="18" t="n"/>
      <c r="G47" s="18" t="n"/>
      <c r="H47" s="33">
        <f>IF(OR($D47="",$E47="",$F47=""),"",ROUND($D47*$E47*$F47,0))</f>
        <v/>
      </c>
      <c r="I47" s="34">
        <f>IF(OR($E47="",$F47=""),"",ROUND($F47*(1+$E47/30),1))</f>
        <v/>
      </c>
      <c r="J47" s="35">
        <f>IF($C47="","",_xlfn.MAXIFS($I$9:$I46,$C$9:$C46,$C47))</f>
        <v/>
      </c>
      <c r="K47" s="36">
        <f>IF(OR($C47="",$I47=""),"",IF($I47&gt;$J47,"PR",""))</f>
        <v/>
      </c>
      <c r="L47" s="37">
        <f>IF($B47=$B46,"",IF(SUMIFS($H$10:$H$297,$A$10:$A$297,$A47,$B$10:$B$297,$B47)=0,"",SUMIFS($H$10:$H$297,$A$10:$A$297,$A47,$B$10:$B$297,$B47)))</f>
        <v/>
      </c>
    </row>
    <row r="48">
      <c r="A48" s="31" t="n">
        <v>2</v>
      </c>
      <c r="B48" s="31" t="n">
        <v>3</v>
      </c>
      <c r="C48" s="32" t="n"/>
      <c r="D48" s="18" t="n"/>
      <c r="E48" s="18" t="n"/>
      <c r="F48" s="18" t="n"/>
      <c r="G48" s="18" t="n"/>
      <c r="H48" s="33">
        <f>IF(OR($D48="",$E48="",$F48=""),"",ROUND($D48*$E48*$F48,0))</f>
        <v/>
      </c>
      <c r="I48" s="34">
        <f>IF(OR($E48="",$F48=""),"",ROUND($F48*(1+$E48/30),1))</f>
        <v/>
      </c>
      <c r="J48" s="35">
        <f>IF($C48="","",_xlfn.MAXIFS($I$9:$I47,$C$9:$C47,$C48))</f>
        <v/>
      </c>
      <c r="K48" s="36">
        <f>IF(OR($C48="",$I48=""),"",IF($I48&gt;$J48,"PR",""))</f>
        <v/>
      </c>
      <c r="L48" s="37">
        <f>IF($B48=$B47,"",IF(SUMIFS($H$10:$H$297,$A$10:$A$297,$A48,$B$10:$B$297,$B48)=0,"",SUMIFS($H$10:$H$297,$A$10:$A$297,$A48,$B$10:$B$297,$B48)))</f>
        <v/>
      </c>
    </row>
    <row r="49">
      <c r="A49" s="31" t="n">
        <v>2</v>
      </c>
      <c r="B49" s="31" t="n">
        <v>3</v>
      </c>
      <c r="C49" s="32" t="n"/>
      <c r="D49" s="18" t="n"/>
      <c r="E49" s="18" t="n"/>
      <c r="F49" s="18" t="n"/>
      <c r="G49" s="18" t="n"/>
      <c r="H49" s="33">
        <f>IF(OR($D49="",$E49="",$F49=""),"",ROUND($D49*$E49*$F49,0))</f>
        <v/>
      </c>
      <c r="I49" s="34">
        <f>IF(OR($E49="",$F49=""),"",ROUND($F49*(1+$E49/30),1))</f>
        <v/>
      </c>
      <c r="J49" s="35">
        <f>IF($C49="","",_xlfn.MAXIFS($I$9:$I48,$C$9:$C48,$C49))</f>
        <v/>
      </c>
      <c r="K49" s="36">
        <f>IF(OR($C49="",$I49=""),"",IF($I49&gt;$J49,"PR",""))</f>
        <v/>
      </c>
      <c r="L49" s="37">
        <f>IF($B49=$B48,"",IF(SUMIFS($H$10:$H$297,$A$10:$A$297,$A49,$B$10:$B$297,$B49)=0,"",SUMIFS($H$10:$H$297,$A$10:$A$297,$A49,$B$10:$B$297,$B49)))</f>
        <v/>
      </c>
    </row>
    <row r="50">
      <c r="A50" s="31" t="n">
        <v>2</v>
      </c>
      <c r="B50" s="31" t="n">
        <v>3</v>
      </c>
      <c r="C50" s="32" t="n"/>
      <c r="D50" s="18" t="n"/>
      <c r="E50" s="18" t="n"/>
      <c r="F50" s="18" t="n"/>
      <c r="G50" s="18" t="n"/>
      <c r="H50" s="33">
        <f>IF(OR($D50="",$E50="",$F50=""),"",ROUND($D50*$E50*$F50,0))</f>
        <v/>
      </c>
      <c r="I50" s="34">
        <f>IF(OR($E50="",$F50=""),"",ROUND($F50*(1+$E50/30),1))</f>
        <v/>
      </c>
      <c r="J50" s="35">
        <f>IF($C50="","",_xlfn.MAXIFS($I$9:$I49,$C$9:$C49,$C50))</f>
        <v/>
      </c>
      <c r="K50" s="36">
        <f>IF(OR($C50="",$I50=""),"",IF($I50&gt;$J50,"PR",""))</f>
        <v/>
      </c>
      <c r="L50" s="37">
        <f>IF($B50=$B49,"",IF(SUMIFS($H$10:$H$297,$A$10:$A$297,$A50,$B$10:$B$297,$B50)=0,"",SUMIFS($H$10:$H$297,$A$10:$A$297,$A50,$B$10:$B$297,$B50)))</f>
        <v/>
      </c>
    </row>
    <row r="51">
      <c r="A51" s="31" t="n">
        <v>2</v>
      </c>
      <c r="B51" s="31" t="n">
        <v>3</v>
      </c>
      <c r="C51" s="32" t="n"/>
      <c r="D51" s="18" t="n"/>
      <c r="E51" s="18" t="n"/>
      <c r="F51" s="18" t="n"/>
      <c r="G51" s="18" t="n"/>
      <c r="H51" s="33">
        <f>IF(OR($D51="",$E51="",$F51=""),"",ROUND($D51*$E51*$F51,0))</f>
        <v/>
      </c>
      <c r="I51" s="34">
        <f>IF(OR($E51="",$F51=""),"",ROUND($F51*(1+$E51/30),1))</f>
        <v/>
      </c>
      <c r="J51" s="35">
        <f>IF($C51="","",_xlfn.MAXIFS($I$9:$I50,$C$9:$C50,$C51))</f>
        <v/>
      </c>
      <c r="K51" s="36">
        <f>IF(OR($C51="",$I51=""),"",IF($I51&gt;$J51,"PR",""))</f>
        <v/>
      </c>
      <c r="L51" s="37">
        <f>IF($B51=$B50,"",IF(SUMIFS($H$10:$H$297,$A$10:$A$297,$A51,$B$10:$B$297,$B51)=0,"",SUMIFS($H$10:$H$297,$A$10:$A$297,$A51,$B$10:$B$297,$B51)))</f>
        <v/>
      </c>
    </row>
    <row r="52">
      <c r="A52" s="38" t="n">
        <v>2</v>
      </c>
      <c r="B52" s="38" t="n">
        <v>4</v>
      </c>
      <c r="C52" s="39" t="n"/>
      <c r="D52" s="40" t="n"/>
      <c r="E52" s="40" t="n"/>
      <c r="F52" s="40" t="n"/>
      <c r="G52" s="40" t="n"/>
      <c r="H52" s="41">
        <f>IF(OR($D52="",$E52="",$F52=""),"",ROUND($D52*$E52*$F52,0))</f>
        <v/>
      </c>
      <c r="I52" s="42">
        <f>IF(OR($E52="",$F52=""),"",ROUND($F52*(1+$E52/30),1))</f>
        <v/>
      </c>
      <c r="J52" s="43">
        <f>IF($C52="","",_xlfn.MAXIFS($I$9:$I51,$C$9:$C51,$C52))</f>
        <v/>
      </c>
      <c r="K52" s="44">
        <f>IF(OR($C52="",$I52=""),"",IF($I52&gt;$J52,"PR",""))</f>
        <v/>
      </c>
      <c r="L52" s="45">
        <f>IF($B52=$B51,"",IF(SUMIFS($H$10:$H$297,$A$10:$A$297,$A52,$B$10:$B$297,$B52)=0,"",SUMIFS($H$10:$H$297,$A$10:$A$297,$A52,$B$10:$B$297,$B52)))</f>
        <v/>
      </c>
    </row>
    <row r="53">
      <c r="A53" s="31" t="n">
        <v>2</v>
      </c>
      <c r="B53" s="31" t="n">
        <v>4</v>
      </c>
      <c r="C53" s="32" t="n"/>
      <c r="D53" s="18" t="n"/>
      <c r="E53" s="18" t="n"/>
      <c r="F53" s="18" t="n"/>
      <c r="G53" s="18" t="n"/>
      <c r="H53" s="33">
        <f>IF(OR($D53="",$E53="",$F53=""),"",ROUND($D53*$E53*$F53,0))</f>
        <v/>
      </c>
      <c r="I53" s="34">
        <f>IF(OR($E53="",$F53=""),"",ROUND($F53*(1+$E53/30),1))</f>
        <v/>
      </c>
      <c r="J53" s="35">
        <f>IF($C53="","",_xlfn.MAXIFS($I$9:$I52,$C$9:$C52,$C53))</f>
        <v/>
      </c>
      <c r="K53" s="36">
        <f>IF(OR($C53="",$I53=""),"",IF($I53&gt;$J53,"PR",""))</f>
        <v/>
      </c>
      <c r="L53" s="37">
        <f>IF($B53=$B52,"",IF(SUMIFS($H$10:$H$297,$A$10:$A$297,$A53,$B$10:$B$297,$B53)=0,"",SUMIFS($H$10:$H$297,$A$10:$A$297,$A53,$B$10:$B$297,$B53)))</f>
        <v/>
      </c>
    </row>
    <row r="54">
      <c r="A54" s="31" t="n">
        <v>2</v>
      </c>
      <c r="B54" s="31" t="n">
        <v>4</v>
      </c>
      <c r="C54" s="32" t="n"/>
      <c r="D54" s="18" t="n"/>
      <c r="E54" s="18" t="n"/>
      <c r="F54" s="18" t="n"/>
      <c r="G54" s="18" t="n"/>
      <c r="H54" s="33">
        <f>IF(OR($D54="",$E54="",$F54=""),"",ROUND($D54*$E54*$F54,0))</f>
        <v/>
      </c>
      <c r="I54" s="34">
        <f>IF(OR($E54="",$F54=""),"",ROUND($F54*(1+$E54/30),1))</f>
        <v/>
      </c>
      <c r="J54" s="35">
        <f>IF($C54="","",_xlfn.MAXIFS($I$9:$I53,$C$9:$C53,$C54))</f>
        <v/>
      </c>
      <c r="K54" s="36">
        <f>IF(OR($C54="",$I54=""),"",IF($I54&gt;$J54,"PR",""))</f>
        <v/>
      </c>
      <c r="L54" s="37">
        <f>IF($B54=$B53,"",IF(SUMIFS($H$10:$H$297,$A$10:$A$297,$A54,$B$10:$B$297,$B54)=0,"",SUMIFS($H$10:$H$297,$A$10:$A$297,$A54,$B$10:$B$297,$B54)))</f>
        <v/>
      </c>
    </row>
    <row r="55">
      <c r="A55" s="31" t="n">
        <v>2</v>
      </c>
      <c r="B55" s="31" t="n">
        <v>4</v>
      </c>
      <c r="C55" s="32" t="n"/>
      <c r="D55" s="18" t="n"/>
      <c r="E55" s="18" t="n"/>
      <c r="F55" s="18" t="n"/>
      <c r="G55" s="18" t="n"/>
      <c r="H55" s="33">
        <f>IF(OR($D55="",$E55="",$F55=""),"",ROUND($D55*$E55*$F55,0))</f>
        <v/>
      </c>
      <c r="I55" s="34">
        <f>IF(OR($E55="",$F55=""),"",ROUND($F55*(1+$E55/30),1))</f>
        <v/>
      </c>
      <c r="J55" s="35">
        <f>IF($C55="","",_xlfn.MAXIFS($I$9:$I54,$C$9:$C54,$C55))</f>
        <v/>
      </c>
      <c r="K55" s="36">
        <f>IF(OR($C55="",$I55=""),"",IF($I55&gt;$J55,"PR",""))</f>
        <v/>
      </c>
      <c r="L55" s="37">
        <f>IF($B55=$B54,"",IF(SUMIFS($H$10:$H$297,$A$10:$A$297,$A55,$B$10:$B$297,$B55)=0,"",SUMIFS($H$10:$H$297,$A$10:$A$297,$A55,$B$10:$B$297,$B55)))</f>
        <v/>
      </c>
    </row>
    <row r="56">
      <c r="A56" s="31" t="n">
        <v>2</v>
      </c>
      <c r="B56" s="31" t="n">
        <v>4</v>
      </c>
      <c r="C56" s="32" t="n"/>
      <c r="D56" s="18" t="n"/>
      <c r="E56" s="18" t="n"/>
      <c r="F56" s="18" t="n"/>
      <c r="G56" s="18" t="n"/>
      <c r="H56" s="33">
        <f>IF(OR($D56="",$E56="",$F56=""),"",ROUND($D56*$E56*$F56,0))</f>
        <v/>
      </c>
      <c r="I56" s="34">
        <f>IF(OR($E56="",$F56=""),"",ROUND($F56*(1+$E56/30),1))</f>
        <v/>
      </c>
      <c r="J56" s="35">
        <f>IF($C56="","",_xlfn.MAXIFS($I$9:$I55,$C$9:$C55,$C56))</f>
        <v/>
      </c>
      <c r="K56" s="36">
        <f>IF(OR($C56="",$I56=""),"",IF($I56&gt;$J56,"PR",""))</f>
        <v/>
      </c>
      <c r="L56" s="37">
        <f>IF($B56=$B55,"",IF(SUMIFS($H$10:$H$297,$A$10:$A$297,$A56,$B$10:$B$297,$B56)=0,"",SUMIFS($H$10:$H$297,$A$10:$A$297,$A56,$B$10:$B$297,$B56)))</f>
        <v/>
      </c>
    </row>
    <row r="57">
      <c r="A57" s="31" t="n">
        <v>2</v>
      </c>
      <c r="B57" s="31" t="n">
        <v>4</v>
      </c>
      <c r="C57" s="32" t="n"/>
      <c r="D57" s="18" t="n"/>
      <c r="E57" s="18" t="n"/>
      <c r="F57" s="18" t="n"/>
      <c r="G57" s="18" t="n"/>
      <c r="H57" s="33">
        <f>IF(OR($D57="",$E57="",$F57=""),"",ROUND($D57*$E57*$F57,0))</f>
        <v/>
      </c>
      <c r="I57" s="34">
        <f>IF(OR($E57="",$F57=""),"",ROUND($F57*(1+$E57/30),1))</f>
        <v/>
      </c>
      <c r="J57" s="35">
        <f>IF($C57="","",_xlfn.MAXIFS($I$9:$I56,$C$9:$C56,$C57))</f>
        <v/>
      </c>
      <c r="K57" s="36">
        <f>IF(OR($C57="",$I57=""),"",IF($I57&gt;$J57,"PR",""))</f>
        <v/>
      </c>
      <c r="L57" s="37">
        <f>IF($B57=$B56,"",IF(SUMIFS($H$10:$H$297,$A$10:$A$297,$A57,$B$10:$B$297,$B57)=0,"",SUMIFS($H$10:$H$297,$A$10:$A$297,$A57,$B$10:$B$297,$B57)))</f>
        <v/>
      </c>
    </row>
    <row r="58">
      <c r="A58" s="23" t="n">
        <v>3</v>
      </c>
      <c r="B58" s="23" t="n">
        <v>1</v>
      </c>
      <c r="C58" s="24" t="n"/>
      <c r="D58" s="25" t="n"/>
      <c r="E58" s="25" t="n"/>
      <c r="F58" s="25" t="n"/>
      <c r="G58" s="25" t="n"/>
      <c r="H58" s="26">
        <f>IF(OR($D58="",$E58="",$F58=""),"",ROUND($D58*$E58*$F58,0))</f>
        <v/>
      </c>
      <c r="I58" s="27">
        <f>IF(OR($E58="",$F58=""),"",ROUND($F58*(1+$E58/30),1))</f>
        <v/>
      </c>
      <c r="J58" s="28">
        <f>IF($C58="","",_xlfn.MAXIFS($I$9:$I57,$C$9:$C57,$C58))</f>
        <v/>
      </c>
      <c r="K58" s="29">
        <f>IF(OR($C58="",$I58=""),"",IF($I58&gt;$J58,"PR",""))</f>
        <v/>
      </c>
      <c r="L58" s="30">
        <f>IF($B58=$B57,"",IF(SUMIFS($H$10:$H$297,$A$10:$A$297,$A58,$B$10:$B$297,$B58)=0,"",SUMIFS($H$10:$H$297,$A$10:$A$297,$A58,$B$10:$B$297,$B58)))</f>
        <v/>
      </c>
    </row>
    <row r="59">
      <c r="A59" s="31" t="n">
        <v>3</v>
      </c>
      <c r="B59" s="31" t="n">
        <v>1</v>
      </c>
      <c r="C59" s="32" t="n"/>
      <c r="D59" s="18" t="n"/>
      <c r="E59" s="18" t="n"/>
      <c r="F59" s="18" t="n"/>
      <c r="G59" s="18" t="n"/>
      <c r="H59" s="33">
        <f>IF(OR($D59="",$E59="",$F59=""),"",ROUND($D59*$E59*$F59,0))</f>
        <v/>
      </c>
      <c r="I59" s="34">
        <f>IF(OR($E59="",$F59=""),"",ROUND($F59*(1+$E59/30),1))</f>
        <v/>
      </c>
      <c r="J59" s="35">
        <f>IF($C59="","",_xlfn.MAXIFS($I$9:$I58,$C$9:$C58,$C59))</f>
        <v/>
      </c>
      <c r="K59" s="36">
        <f>IF(OR($C59="",$I59=""),"",IF($I59&gt;$J59,"PR",""))</f>
        <v/>
      </c>
      <c r="L59" s="37">
        <f>IF($B59=$B58,"",IF(SUMIFS($H$10:$H$297,$A$10:$A$297,$A59,$B$10:$B$297,$B59)=0,"",SUMIFS($H$10:$H$297,$A$10:$A$297,$A59,$B$10:$B$297,$B59)))</f>
        <v/>
      </c>
    </row>
    <row r="60">
      <c r="A60" s="31" t="n">
        <v>3</v>
      </c>
      <c r="B60" s="31" t="n">
        <v>1</v>
      </c>
      <c r="C60" s="32" t="n"/>
      <c r="D60" s="18" t="n"/>
      <c r="E60" s="18" t="n"/>
      <c r="F60" s="18" t="n"/>
      <c r="G60" s="18" t="n"/>
      <c r="H60" s="33">
        <f>IF(OR($D60="",$E60="",$F60=""),"",ROUND($D60*$E60*$F60,0))</f>
        <v/>
      </c>
      <c r="I60" s="34">
        <f>IF(OR($E60="",$F60=""),"",ROUND($F60*(1+$E60/30),1))</f>
        <v/>
      </c>
      <c r="J60" s="35">
        <f>IF($C60="","",_xlfn.MAXIFS($I$9:$I59,$C$9:$C59,$C60))</f>
        <v/>
      </c>
      <c r="K60" s="36">
        <f>IF(OR($C60="",$I60=""),"",IF($I60&gt;$J60,"PR",""))</f>
        <v/>
      </c>
      <c r="L60" s="37">
        <f>IF($B60=$B59,"",IF(SUMIFS($H$10:$H$297,$A$10:$A$297,$A60,$B$10:$B$297,$B60)=0,"",SUMIFS($H$10:$H$297,$A$10:$A$297,$A60,$B$10:$B$297,$B60)))</f>
        <v/>
      </c>
    </row>
    <row r="61">
      <c r="A61" s="31" t="n">
        <v>3</v>
      </c>
      <c r="B61" s="31" t="n">
        <v>1</v>
      </c>
      <c r="C61" s="32" t="n"/>
      <c r="D61" s="18" t="n"/>
      <c r="E61" s="18" t="n"/>
      <c r="F61" s="18" t="n"/>
      <c r="G61" s="18" t="n"/>
      <c r="H61" s="33">
        <f>IF(OR($D61="",$E61="",$F61=""),"",ROUND($D61*$E61*$F61,0))</f>
        <v/>
      </c>
      <c r="I61" s="34">
        <f>IF(OR($E61="",$F61=""),"",ROUND($F61*(1+$E61/30),1))</f>
        <v/>
      </c>
      <c r="J61" s="35">
        <f>IF($C61="","",_xlfn.MAXIFS($I$9:$I60,$C$9:$C60,$C61))</f>
        <v/>
      </c>
      <c r="K61" s="36">
        <f>IF(OR($C61="",$I61=""),"",IF($I61&gt;$J61,"PR",""))</f>
        <v/>
      </c>
      <c r="L61" s="37">
        <f>IF($B61=$B60,"",IF(SUMIFS($H$10:$H$297,$A$10:$A$297,$A61,$B$10:$B$297,$B61)=0,"",SUMIFS($H$10:$H$297,$A$10:$A$297,$A61,$B$10:$B$297,$B61)))</f>
        <v/>
      </c>
    </row>
    <row r="62">
      <c r="A62" s="31" t="n">
        <v>3</v>
      </c>
      <c r="B62" s="31" t="n">
        <v>1</v>
      </c>
      <c r="C62" s="32" t="n"/>
      <c r="D62" s="18" t="n"/>
      <c r="E62" s="18" t="n"/>
      <c r="F62" s="18" t="n"/>
      <c r="G62" s="18" t="n"/>
      <c r="H62" s="33">
        <f>IF(OR($D62="",$E62="",$F62=""),"",ROUND($D62*$E62*$F62,0))</f>
        <v/>
      </c>
      <c r="I62" s="34">
        <f>IF(OR($E62="",$F62=""),"",ROUND($F62*(1+$E62/30),1))</f>
        <v/>
      </c>
      <c r="J62" s="35">
        <f>IF($C62="","",_xlfn.MAXIFS($I$9:$I61,$C$9:$C61,$C62))</f>
        <v/>
      </c>
      <c r="K62" s="36">
        <f>IF(OR($C62="",$I62=""),"",IF($I62&gt;$J62,"PR",""))</f>
        <v/>
      </c>
      <c r="L62" s="37">
        <f>IF($B62=$B61,"",IF(SUMIFS($H$10:$H$297,$A$10:$A$297,$A62,$B$10:$B$297,$B62)=0,"",SUMIFS($H$10:$H$297,$A$10:$A$297,$A62,$B$10:$B$297,$B62)))</f>
        <v/>
      </c>
    </row>
    <row r="63">
      <c r="A63" s="31" t="n">
        <v>3</v>
      </c>
      <c r="B63" s="31" t="n">
        <v>1</v>
      </c>
      <c r="C63" s="32" t="n"/>
      <c r="D63" s="18" t="n"/>
      <c r="E63" s="18" t="n"/>
      <c r="F63" s="18" t="n"/>
      <c r="G63" s="18" t="n"/>
      <c r="H63" s="33">
        <f>IF(OR($D63="",$E63="",$F63=""),"",ROUND($D63*$E63*$F63,0))</f>
        <v/>
      </c>
      <c r="I63" s="34">
        <f>IF(OR($E63="",$F63=""),"",ROUND($F63*(1+$E63/30),1))</f>
        <v/>
      </c>
      <c r="J63" s="35">
        <f>IF($C63="","",_xlfn.MAXIFS($I$9:$I62,$C$9:$C62,$C63))</f>
        <v/>
      </c>
      <c r="K63" s="36">
        <f>IF(OR($C63="",$I63=""),"",IF($I63&gt;$J63,"PR",""))</f>
        <v/>
      </c>
      <c r="L63" s="37">
        <f>IF($B63=$B62,"",IF(SUMIFS($H$10:$H$297,$A$10:$A$297,$A63,$B$10:$B$297,$B63)=0,"",SUMIFS($H$10:$H$297,$A$10:$A$297,$A63,$B$10:$B$297,$B63)))</f>
        <v/>
      </c>
    </row>
    <row r="64">
      <c r="A64" s="38" t="n">
        <v>3</v>
      </c>
      <c r="B64" s="38" t="n">
        <v>2</v>
      </c>
      <c r="C64" s="39" t="n"/>
      <c r="D64" s="40" t="n"/>
      <c r="E64" s="40" t="n"/>
      <c r="F64" s="40" t="n"/>
      <c r="G64" s="40" t="n"/>
      <c r="H64" s="41">
        <f>IF(OR($D64="",$E64="",$F64=""),"",ROUND($D64*$E64*$F64,0))</f>
        <v/>
      </c>
      <c r="I64" s="42">
        <f>IF(OR($E64="",$F64=""),"",ROUND($F64*(1+$E64/30),1))</f>
        <v/>
      </c>
      <c r="J64" s="43">
        <f>IF($C64="","",_xlfn.MAXIFS($I$9:$I63,$C$9:$C63,$C64))</f>
        <v/>
      </c>
      <c r="K64" s="44">
        <f>IF(OR($C64="",$I64=""),"",IF($I64&gt;$J64,"PR",""))</f>
        <v/>
      </c>
      <c r="L64" s="45">
        <f>IF($B64=$B63,"",IF(SUMIFS($H$10:$H$297,$A$10:$A$297,$A64,$B$10:$B$297,$B64)=0,"",SUMIFS($H$10:$H$297,$A$10:$A$297,$A64,$B$10:$B$297,$B64)))</f>
        <v/>
      </c>
    </row>
    <row r="65">
      <c r="A65" s="31" t="n">
        <v>3</v>
      </c>
      <c r="B65" s="31" t="n">
        <v>2</v>
      </c>
      <c r="C65" s="32" t="n"/>
      <c r="D65" s="18" t="n"/>
      <c r="E65" s="18" t="n"/>
      <c r="F65" s="18" t="n"/>
      <c r="G65" s="18" t="n"/>
      <c r="H65" s="33">
        <f>IF(OR($D65="",$E65="",$F65=""),"",ROUND($D65*$E65*$F65,0))</f>
        <v/>
      </c>
      <c r="I65" s="34">
        <f>IF(OR($E65="",$F65=""),"",ROUND($F65*(1+$E65/30),1))</f>
        <v/>
      </c>
      <c r="J65" s="35">
        <f>IF($C65="","",_xlfn.MAXIFS($I$9:$I64,$C$9:$C64,$C65))</f>
        <v/>
      </c>
      <c r="K65" s="36">
        <f>IF(OR($C65="",$I65=""),"",IF($I65&gt;$J65,"PR",""))</f>
        <v/>
      </c>
      <c r="L65" s="37">
        <f>IF($B65=$B64,"",IF(SUMIFS($H$10:$H$297,$A$10:$A$297,$A65,$B$10:$B$297,$B65)=0,"",SUMIFS($H$10:$H$297,$A$10:$A$297,$A65,$B$10:$B$297,$B65)))</f>
        <v/>
      </c>
    </row>
    <row r="66">
      <c r="A66" s="31" t="n">
        <v>3</v>
      </c>
      <c r="B66" s="31" t="n">
        <v>2</v>
      </c>
      <c r="C66" s="32" t="n"/>
      <c r="D66" s="18" t="n"/>
      <c r="E66" s="18" t="n"/>
      <c r="F66" s="18" t="n"/>
      <c r="G66" s="18" t="n"/>
      <c r="H66" s="33">
        <f>IF(OR($D66="",$E66="",$F66=""),"",ROUND($D66*$E66*$F66,0))</f>
        <v/>
      </c>
      <c r="I66" s="34">
        <f>IF(OR($E66="",$F66=""),"",ROUND($F66*(1+$E66/30),1))</f>
        <v/>
      </c>
      <c r="J66" s="35">
        <f>IF($C66="","",_xlfn.MAXIFS($I$9:$I65,$C$9:$C65,$C66))</f>
        <v/>
      </c>
      <c r="K66" s="36">
        <f>IF(OR($C66="",$I66=""),"",IF($I66&gt;$J66,"PR",""))</f>
        <v/>
      </c>
      <c r="L66" s="37">
        <f>IF($B66=$B65,"",IF(SUMIFS($H$10:$H$297,$A$10:$A$297,$A66,$B$10:$B$297,$B66)=0,"",SUMIFS($H$10:$H$297,$A$10:$A$297,$A66,$B$10:$B$297,$B66)))</f>
        <v/>
      </c>
    </row>
    <row r="67">
      <c r="A67" s="31" t="n">
        <v>3</v>
      </c>
      <c r="B67" s="31" t="n">
        <v>2</v>
      </c>
      <c r="C67" s="32" t="n"/>
      <c r="D67" s="18" t="n"/>
      <c r="E67" s="18" t="n"/>
      <c r="F67" s="18" t="n"/>
      <c r="G67" s="18" t="n"/>
      <c r="H67" s="33">
        <f>IF(OR($D67="",$E67="",$F67=""),"",ROUND($D67*$E67*$F67,0))</f>
        <v/>
      </c>
      <c r="I67" s="34">
        <f>IF(OR($E67="",$F67=""),"",ROUND($F67*(1+$E67/30),1))</f>
        <v/>
      </c>
      <c r="J67" s="35">
        <f>IF($C67="","",_xlfn.MAXIFS($I$9:$I66,$C$9:$C66,$C67))</f>
        <v/>
      </c>
      <c r="K67" s="36">
        <f>IF(OR($C67="",$I67=""),"",IF($I67&gt;$J67,"PR",""))</f>
        <v/>
      </c>
      <c r="L67" s="37">
        <f>IF($B67=$B66,"",IF(SUMIFS($H$10:$H$297,$A$10:$A$297,$A67,$B$10:$B$297,$B67)=0,"",SUMIFS($H$10:$H$297,$A$10:$A$297,$A67,$B$10:$B$297,$B67)))</f>
        <v/>
      </c>
    </row>
    <row r="68">
      <c r="A68" s="31" t="n">
        <v>3</v>
      </c>
      <c r="B68" s="31" t="n">
        <v>2</v>
      </c>
      <c r="C68" s="32" t="n"/>
      <c r="D68" s="18" t="n"/>
      <c r="E68" s="18" t="n"/>
      <c r="F68" s="18" t="n"/>
      <c r="G68" s="18" t="n"/>
      <c r="H68" s="33">
        <f>IF(OR($D68="",$E68="",$F68=""),"",ROUND($D68*$E68*$F68,0))</f>
        <v/>
      </c>
      <c r="I68" s="34">
        <f>IF(OR($E68="",$F68=""),"",ROUND($F68*(1+$E68/30),1))</f>
        <v/>
      </c>
      <c r="J68" s="35">
        <f>IF($C68="","",_xlfn.MAXIFS($I$9:$I67,$C$9:$C67,$C68))</f>
        <v/>
      </c>
      <c r="K68" s="36">
        <f>IF(OR($C68="",$I68=""),"",IF($I68&gt;$J68,"PR",""))</f>
        <v/>
      </c>
      <c r="L68" s="37">
        <f>IF($B68=$B67,"",IF(SUMIFS($H$10:$H$297,$A$10:$A$297,$A68,$B$10:$B$297,$B68)=0,"",SUMIFS($H$10:$H$297,$A$10:$A$297,$A68,$B$10:$B$297,$B68)))</f>
        <v/>
      </c>
    </row>
    <row r="69">
      <c r="A69" s="31" t="n">
        <v>3</v>
      </c>
      <c r="B69" s="31" t="n">
        <v>2</v>
      </c>
      <c r="C69" s="32" t="n"/>
      <c r="D69" s="18" t="n"/>
      <c r="E69" s="18" t="n"/>
      <c r="F69" s="18" t="n"/>
      <c r="G69" s="18" t="n"/>
      <c r="H69" s="33">
        <f>IF(OR($D69="",$E69="",$F69=""),"",ROUND($D69*$E69*$F69,0))</f>
        <v/>
      </c>
      <c r="I69" s="34">
        <f>IF(OR($E69="",$F69=""),"",ROUND($F69*(1+$E69/30),1))</f>
        <v/>
      </c>
      <c r="J69" s="35">
        <f>IF($C69="","",_xlfn.MAXIFS($I$9:$I68,$C$9:$C68,$C69))</f>
        <v/>
      </c>
      <c r="K69" s="36">
        <f>IF(OR($C69="",$I69=""),"",IF($I69&gt;$J69,"PR",""))</f>
        <v/>
      </c>
      <c r="L69" s="37">
        <f>IF($B69=$B68,"",IF(SUMIFS($H$10:$H$297,$A$10:$A$297,$A69,$B$10:$B$297,$B69)=0,"",SUMIFS($H$10:$H$297,$A$10:$A$297,$A69,$B$10:$B$297,$B69)))</f>
        <v/>
      </c>
    </row>
    <row r="70">
      <c r="A70" s="38" t="n">
        <v>3</v>
      </c>
      <c r="B70" s="38" t="n">
        <v>3</v>
      </c>
      <c r="C70" s="39" t="n"/>
      <c r="D70" s="40" t="n"/>
      <c r="E70" s="40" t="n"/>
      <c r="F70" s="40" t="n"/>
      <c r="G70" s="40" t="n"/>
      <c r="H70" s="41">
        <f>IF(OR($D70="",$E70="",$F70=""),"",ROUND($D70*$E70*$F70,0))</f>
        <v/>
      </c>
      <c r="I70" s="42">
        <f>IF(OR($E70="",$F70=""),"",ROUND($F70*(1+$E70/30),1))</f>
        <v/>
      </c>
      <c r="J70" s="43">
        <f>IF($C70="","",_xlfn.MAXIFS($I$9:$I69,$C$9:$C69,$C70))</f>
        <v/>
      </c>
      <c r="K70" s="44">
        <f>IF(OR($C70="",$I70=""),"",IF($I70&gt;$J70,"PR",""))</f>
        <v/>
      </c>
      <c r="L70" s="45">
        <f>IF($B70=$B69,"",IF(SUMIFS($H$10:$H$297,$A$10:$A$297,$A70,$B$10:$B$297,$B70)=0,"",SUMIFS($H$10:$H$297,$A$10:$A$297,$A70,$B$10:$B$297,$B70)))</f>
        <v/>
      </c>
    </row>
    <row r="71">
      <c r="A71" s="31" t="n">
        <v>3</v>
      </c>
      <c r="B71" s="31" t="n">
        <v>3</v>
      </c>
      <c r="C71" s="32" t="n"/>
      <c r="D71" s="18" t="n"/>
      <c r="E71" s="18" t="n"/>
      <c r="F71" s="18" t="n"/>
      <c r="G71" s="18" t="n"/>
      <c r="H71" s="33">
        <f>IF(OR($D71="",$E71="",$F71=""),"",ROUND($D71*$E71*$F71,0))</f>
        <v/>
      </c>
      <c r="I71" s="34">
        <f>IF(OR($E71="",$F71=""),"",ROUND($F71*(1+$E71/30),1))</f>
        <v/>
      </c>
      <c r="J71" s="35">
        <f>IF($C71="","",_xlfn.MAXIFS($I$9:$I70,$C$9:$C70,$C71))</f>
        <v/>
      </c>
      <c r="K71" s="36">
        <f>IF(OR($C71="",$I71=""),"",IF($I71&gt;$J71,"PR",""))</f>
        <v/>
      </c>
      <c r="L71" s="37">
        <f>IF($B71=$B70,"",IF(SUMIFS($H$10:$H$297,$A$10:$A$297,$A71,$B$10:$B$297,$B71)=0,"",SUMIFS($H$10:$H$297,$A$10:$A$297,$A71,$B$10:$B$297,$B71)))</f>
        <v/>
      </c>
    </row>
    <row r="72">
      <c r="A72" s="31" t="n">
        <v>3</v>
      </c>
      <c r="B72" s="31" t="n">
        <v>3</v>
      </c>
      <c r="C72" s="32" t="n"/>
      <c r="D72" s="18" t="n"/>
      <c r="E72" s="18" t="n"/>
      <c r="F72" s="18" t="n"/>
      <c r="G72" s="18" t="n"/>
      <c r="H72" s="33">
        <f>IF(OR($D72="",$E72="",$F72=""),"",ROUND($D72*$E72*$F72,0))</f>
        <v/>
      </c>
      <c r="I72" s="34">
        <f>IF(OR($E72="",$F72=""),"",ROUND($F72*(1+$E72/30),1))</f>
        <v/>
      </c>
      <c r="J72" s="35">
        <f>IF($C72="","",_xlfn.MAXIFS($I$9:$I71,$C$9:$C71,$C72))</f>
        <v/>
      </c>
      <c r="K72" s="36">
        <f>IF(OR($C72="",$I72=""),"",IF($I72&gt;$J72,"PR",""))</f>
        <v/>
      </c>
      <c r="L72" s="37">
        <f>IF($B72=$B71,"",IF(SUMIFS($H$10:$H$297,$A$10:$A$297,$A72,$B$10:$B$297,$B72)=0,"",SUMIFS($H$10:$H$297,$A$10:$A$297,$A72,$B$10:$B$297,$B72)))</f>
        <v/>
      </c>
    </row>
    <row r="73">
      <c r="A73" s="31" t="n">
        <v>3</v>
      </c>
      <c r="B73" s="31" t="n">
        <v>3</v>
      </c>
      <c r="C73" s="32" t="n"/>
      <c r="D73" s="18" t="n"/>
      <c r="E73" s="18" t="n"/>
      <c r="F73" s="18" t="n"/>
      <c r="G73" s="18" t="n"/>
      <c r="H73" s="33">
        <f>IF(OR($D73="",$E73="",$F73=""),"",ROUND($D73*$E73*$F73,0))</f>
        <v/>
      </c>
      <c r="I73" s="34">
        <f>IF(OR($E73="",$F73=""),"",ROUND($F73*(1+$E73/30),1))</f>
        <v/>
      </c>
      <c r="J73" s="35">
        <f>IF($C73="","",_xlfn.MAXIFS($I$9:$I72,$C$9:$C72,$C73))</f>
        <v/>
      </c>
      <c r="K73" s="36">
        <f>IF(OR($C73="",$I73=""),"",IF($I73&gt;$J73,"PR",""))</f>
        <v/>
      </c>
      <c r="L73" s="37">
        <f>IF($B73=$B72,"",IF(SUMIFS($H$10:$H$297,$A$10:$A$297,$A73,$B$10:$B$297,$B73)=0,"",SUMIFS($H$10:$H$297,$A$10:$A$297,$A73,$B$10:$B$297,$B73)))</f>
        <v/>
      </c>
    </row>
    <row r="74">
      <c r="A74" s="31" t="n">
        <v>3</v>
      </c>
      <c r="B74" s="31" t="n">
        <v>3</v>
      </c>
      <c r="C74" s="32" t="n"/>
      <c r="D74" s="18" t="n"/>
      <c r="E74" s="18" t="n"/>
      <c r="F74" s="18" t="n"/>
      <c r="G74" s="18" t="n"/>
      <c r="H74" s="33">
        <f>IF(OR($D74="",$E74="",$F74=""),"",ROUND($D74*$E74*$F74,0))</f>
        <v/>
      </c>
      <c r="I74" s="34">
        <f>IF(OR($E74="",$F74=""),"",ROUND($F74*(1+$E74/30),1))</f>
        <v/>
      </c>
      <c r="J74" s="35">
        <f>IF($C74="","",_xlfn.MAXIFS($I$9:$I73,$C$9:$C73,$C74))</f>
        <v/>
      </c>
      <c r="K74" s="36">
        <f>IF(OR($C74="",$I74=""),"",IF($I74&gt;$J74,"PR",""))</f>
        <v/>
      </c>
      <c r="L74" s="37">
        <f>IF($B74=$B73,"",IF(SUMIFS($H$10:$H$297,$A$10:$A$297,$A74,$B$10:$B$297,$B74)=0,"",SUMIFS($H$10:$H$297,$A$10:$A$297,$A74,$B$10:$B$297,$B74)))</f>
        <v/>
      </c>
    </row>
    <row r="75">
      <c r="A75" s="31" t="n">
        <v>3</v>
      </c>
      <c r="B75" s="31" t="n">
        <v>3</v>
      </c>
      <c r="C75" s="32" t="n"/>
      <c r="D75" s="18" t="n"/>
      <c r="E75" s="18" t="n"/>
      <c r="F75" s="18" t="n"/>
      <c r="G75" s="18" t="n"/>
      <c r="H75" s="33">
        <f>IF(OR($D75="",$E75="",$F75=""),"",ROUND($D75*$E75*$F75,0))</f>
        <v/>
      </c>
      <c r="I75" s="34">
        <f>IF(OR($E75="",$F75=""),"",ROUND($F75*(1+$E75/30),1))</f>
        <v/>
      </c>
      <c r="J75" s="35">
        <f>IF($C75="","",_xlfn.MAXIFS($I$9:$I74,$C$9:$C74,$C75))</f>
        <v/>
      </c>
      <c r="K75" s="36">
        <f>IF(OR($C75="",$I75=""),"",IF($I75&gt;$J75,"PR",""))</f>
        <v/>
      </c>
      <c r="L75" s="37">
        <f>IF($B75=$B74,"",IF(SUMIFS($H$10:$H$297,$A$10:$A$297,$A75,$B$10:$B$297,$B75)=0,"",SUMIFS($H$10:$H$297,$A$10:$A$297,$A75,$B$10:$B$297,$B75)))</f>
        <v/>
      </c>
    </row>
    <row r="76">
      <c r="A76" s="38" t="n">
        <v>3</v>
      </c>
      <c r="B76" s="38" t="n">
        <v>4</v>
      </c>
      <c r="C76" s="39" t="n"/>
      <c r="D76" s="40" t="n"/>
      <c r="E76" s="40" t="n"/>
      <c r="F76" s="40" t="n"/>
      <c r="G76" s="40" t="n"/>
      <c r="H76" s="41">
        <f>IF(OR($D76="",$E76="",$F76=""),"",ROUND($D76*$E76*$F76,0))</f>
        <v/>
      </c>
      <c r="I76" s="42">
        <f>IF(OR($E76="",$F76=""),"",ROUND($F76*(1+$E76/30),1))</f>
        <v/>
      </c>
      <c r="J76" s="43">
        <f>IF($C76="","",_xlfn.MAXIFS($I$9:$I75,$C$9:$C75,$C76))</f>
        <v/>
      </c>
      <c r="K76" s="44">
        <f>IF(OR($C76="",$I76=""),"",IF($I76&gt;$J76,"PR",""))</f>
        <v/>
      </c>
      <c r="L76" s="45">
        <f>IF($B76=$B75,"",IF(SUMIFS($H$10:$H$297,$A$10:$A$297,$A76,$B$10:$B$297,$B76)=0,"",SUMIFS($H$10:$H$297,$A$10:$A$297,$A76,$B$10:$B$297,$B76)))</f>
        <v/>
      </c>
    </row>
    <row r="77">
      <c r="A77" s="31" t="n">
        <v>3</v>
      </c>
      <c r="B77" s="31" t="n">
        <v>4</v>
      </c>
      <c r="C77" s="32" t="n"/>
      <c r="D77" s="18" t="n"/>
      <c r="E77" s="18" t="n"/>
      <c r="F77" s="18" t="n"/>
      <c r="G77" s="18" t="n"/>
      <c r="H77" s="33">
        <f>IF(OR($D77="",$E77="",$F77=""),"",ROUND($D77*$E77*$F77,0))</f>
        <v/>
      </c>
      <c r="I77" s="34">
        <f>IF(OR($E77="",$F77=""),"",ROUND($F77*(1+$E77/30),1))</f>
        <v/>
      </c>
      <c r="J77" s="35">
        <f>IF($C77="","",_xlfn.MAXIFS($I$9:$I76,$C$9:$C76,$C77))</f>
        <v/>
      </c>
      <c r="K77" s="36">
        <f>IF(OR($C77="",$I77=""),"",IF($I77&gt;$J77,"PR",""))</f>
        <v/>
      </c>
      <c r="L77" s="37">
        <f>IF($B77=$B76,"",IF(SUMIFS($H$10:$H$297,$A$10:$A$297,$A77,$B$10:$B$297,$B77)=0,"",SUMIFS($H$10:$H$297,$A$10:$A$297,$A77,$B$10:$B$297,$B77)))</f>
        <v/>
      </c>
    </row>
    <row r="78">
      <c r="A78" s="31" t="n">
        <v>3</v>
      </c>
      <c r="B78" s="31" t="n">
        <v>4</v>
      </c>
      <c r="C78" s="32" t="n"/>
      <c r="D78" s="18" t="n"/>
      <c r="E78" s="18" t="n"/>
      <c r="F78" s="18" t="n"/>
      <c r="G78" s="18" t="n"/>
      <c r="H78" s="33">
        <f>IF(OR($D78="",$E78="",$F78=""),"",ROUND($D78*$E78*$F78,0))</f>
        <v/>
      </c>
      <c r="I78" s="34">
        <f>IF(OR($E78="",$F78=""),"",ROUND($F78*(1+$E78/30),1))</f>
        <v/>
      </c>
      <c r="J78" s="35">
        <f>IF($C78="","",_xlfn.MAXIFS($I$9:$I77,$C$9:$C77,$C78))</f>
        <v/>
      </c>
      <c r="K78" s="36">
        <f>IF(OR($C78="",$I78=""),"",IF($I78&gt;$J78,"PR",""))</f>
        <v/>
      </c>
      <c r="L78" s="37">
        <f>IF($B78=$B77,"",IF(SUMIFS($H$10:$H$297,$A$10:$A$297,$A78,$B$10:$B$297,$B78)=0,"",SUMIFS($H$10:$H$297,$A$10:$A$297,$A78,$B$10:$B$297,$B78)))</f>
        <v/>
      </c>
    </row>
    <row r="79">
      <c r="A79" s="31" t="n">
        <v>3</v>
      </c>
      <c r="B79" s="31" t="n">
        <v>4</v>
      </c>
      <c r="C79" s="32" t="n"/>
      <c r="D79" s="18" t="n"/>
      <c r="E79" s="18" t="n"/>
      <c r="F79" s="18" t="n"/>
      <c r="G79" s="18" t="n"/>
      <c r="H79" s="33">
        <f>IF(OR($D79="",$E79="",$F79=""),"",ROUND($D79*$E79*$F79,0))</f>
        <v/>
      </c>
      <c r="I79" s="34">
        <f>IF(OR($E79="",$F79=""),"",ROUND($F79*(1+$E79/30),1))</f>
        <v/>
      </c>
      <c r="J79" s="35">
        <f>IF($C79="","",_xlfn.MAXIFS($I$9:$I78,$C$9:$C78,$C79))</f>
        <v/>
      </c>
      <c r="K79" s="36">
        <f>IF(OR($C79="",$I79=""),"",IF($I79&gt;$J79,"PR",""))</f>
        <v/>
      </c>
      <c r="L79" s="37">
        <f>IF($B79=$B78,"",IF(SUMIFS($H$10:$H$297,$A$10:$A$297,$A79,$B$10:$B$297,$B79)=0,"",SUMIFS($H$10:$H$297,$A$10:$A$297,$A79,$B$10:$B$297,$B79)))</f>
        <v/>
      </c>
    </row>
    <row r="80">
      <c r="A80" s="31" t="n">
        <v>3</v>
      </c>
      <c r="B80" s="31" t="n">
        <v>4</v>
      </c>
      <c r="C80" s="32" t="n"/>
      <c r="D80" s="18" t="n"/>
      <c r="E80" s="18" t="n"/>
      <c r="F80" s="18" t="n"/>
      <c r="G80" s="18" t="n"/>
      <c r="H80" s="33">
        <f>IF(OR($D80="",$E80="",$F80=""),"",ROUND($D80*$E80*$F80,0))</f>
        <v/>
      </c>
      <c r="I80" s="34">
        <f>IF(OR($E80="",$F80=""),"",ROUND($F80*(1+$E80/30),1))</f>
        <v/>
      </c>
      <c r="J80" s="35">
        <f>IF($C80="","",_xlfn.MAXIFS($I$9:$I79,$C$9:$C79,$C80))</f>
        <v/>
      </c>
      <c r="K80" s="36">
        <f>IF(OR($C80="",$I80=""),"",IF($I80&gt;$J80,"PR",""))</f>
        <v/>
      </c>
      <c r="L80" s="37">
        <f>IF($B80=$B79,"",IF(SUMIFS($H$10:$H$297,$A$10:$A$297,$A80,$B$10:$B$297,$B80)=0,"",SUMIFS($H$10:$H$297,$A$10:$A$297,$A80,$B$10:$B$297,$B80)))</f>
        <v/>
      </c>
    </row>
    <row r="81">
      <c r="A81" s="31" t="n">
        <v>3</v>
      </c>
      <c r="B81" s="31" t="n">
        <v>4</v>
      </c>
      <c r="C81" s="32" t="n"/>
      <c r="D81" s="18" t="n"/>
      <c r="E81" s="18" t="n"/>
      <c r="F81" s="18" t="n"/>
      <c r="G81" s="18" t="n"/>
      <c r="H81" s="33">
        <f>IF(OR($D81="",$E81="",$F81=""),"",ROUND($D81*$E81*$F81,0))</f>
        <v/>
      </c>
      <c r="I81" s="34">
        <f>IF(OR($E81="",$F81=""),"",ROUND($F81*(1+$E81/30),1))</f>
        <v/>
      </c>
      <c r="J81" s="35">
        <f>IF($C81="","",_xlfn.MAXIFS($I$9:$I80,$C$9:$C80,$C81))</f>
        <v/>
      </c>
      <c r="K81" s="36">
        <f>IF(OR($C81="",$I81=""),"",IF($I81&gt;$J81,"PR",""))</f>
        <v/>
      </c>
      <c r="L81" s="37">
        <f>IF($B81=$B80,"",IF(SUMIFS($H$10:$H$297,$A$10:$A$297,$A81,$B$10:$B$297,$B81)=0,"",SUMIFS($H$10:$H$297,$A$10:$A$297,$A81,$B$10:$B$297,$B81)))</f>
        <v/>
      </c>
    </row>
    <row r="82">
      <c r="A82" s="23" t="n">
        <v>4</v>
      </c>
      <c r="B82" s="23" t="n">
        <v>1</v>
      </c>
      <c r="C82" s="24" t="n"/>
      <c r="D82" s="25" t="n"/>
      <c r="E82" s="25" t="n"/>
      <c r="F82" s="25" t="n"/>
      <c r="G82" s="25" t="n"/>
      <c r="H82" s="26">
        <f>IF(OR($D82="",$E82="",$F82=""),"",ROUND($D82*$E82*$F82,0))</f>
        <v/>
      </c>
      <c r="I82" s="27">
        <f>IF(OR($E82="",$F82=""),"",ROUND($F82*(1+$E82/30),1))</f>
        <v/>
      </c>
      <c r="J82" s="28">
        <f>IF($C82="","",_xlfn.MAXIFS($I$9:$I81,$C$9:$C81,$C82))</f>
        <v/>
      </c>
      <c r="K82" s="29">
        <f>IF(OR($C82="",$I82=""),"",IF($I82&gt;$J82,"PR",""))</f>
        <v/>
      </c>
      <c r="L82" s="30">
        <f>IF($B82=$B81,"",IF(SUMIFS($H$10:$H$297,$A$10:$A$297,$A82,$B$10:$B$297,$B82)=0,"",SUMIFS($H$10:$H$297,$A$10:$A$297,$A82,$B$10:$B$297,$B82)))</f>
        <v/>
      </c>
    </row>
    <row r="83">
      <c r="A83" s="31" t="n">
        <v>4</v>
      </c>
      <c r="B83" s="31" t="n">
        <v>1</v>
      </c>
      <c r="C83" s="32" t="n"/>
      <c r="D83" s="18" t="n"/>
      <c r="E83" s="18" t="n"/>
      <c r="F83" s="18" t="n"/>
      <c r="G83" s="18" t="n"/>
      <c r="H83" s="33">
        <f>IF(OR($D83="",$E83="",$F83=""),"",ROUND($D83*$E83*$F83,0))</f>
        <v/>
      </c>
      <c r="I83" s="34">
        <f>IF(OR($E83="",$F83=""),"",ROUND($F83*(1+$E83/30),1))</f>
        <v/>
      </c>
      <c r="J83" s="35">
        <f>IF($C83="","",_xlfn.MAXIFS($I$9:$I82,$C$9:$C82,$C83))</f>
        <v/>
      </c>
      <c r="K83" s="36">
        <f>IF(OR($C83="",$I83=""),"",IF($I83&gt;$J83,"PR",""))</f>
        <v/>
      </c>
      <c r="L83" s="37">
        <f>IF($B83=$B82,"",IF(SUMIFS($H$10:$H$297,$A$10:$A$297,$A83,$B$10:$B$297,$B83)=0,"",SUMIFS($H$10:$H$297,$A$10:$A$297,$A83,$B$10:$B$297,$B83)))</f>
        <v/>
      </c>
    </row>
    <row r="84">
      <c r="A84" s="31" t="n">
        <v>4</v>
      </c>
      <c r="B84" s="31" t="n">
        <v>1</v>
      </c>
      <c r="C84" s="32" t="n"/>
      <c r="D84" s="18" t="n"/>
      <c r="E84" s="18" t="n"/>
      <c r="F84" s="18" t="n"/>
      <c r="G84" s="18" t="n"/>
      <c r="H84" s="33">
        <f>IF(OR($D84="",$E84="",$F84=""),"",ROUND($D84*$E84*$F84,0))</f>
        <v/>
      </c>
      <c r="I84" s="34">
        <f>IF(OR($E84="",$F84=""),"",ROUND($F84*(1+$E84/30),1))</f>
        <v/>
      </c>
      <c r="J84" s="35">
        <f>IF($C84="","",_xlfn.MAXIFS($I$9:$I83,$C$9:$C83,$C84))</f>
        <v/>
      </c>
      <c r="K84" s="36">
        <f>IF(OR($C84="",$I84=""),"",IF($I84&gt;$J84,"PR",""))</f>
        <v/>
      </c>
      <c r="L84" s="37">
        <f>IF($B84=$B83,"",IF(SUMIFS($H$10:$H$297,$A$10:$A$297,$A84,$B$10:$B$297,$B84)=0,"",SUMIFS($H$10:$H$297,$A$10:$A$297,$A84,$B$10:$B$297,$B84)))</f>
        <v/>
      </c>
    </row>
    <row r="85">
      <c r="A85" s="31" t="n">
        <v>4</v>
      </c>
      <c r="B85" s="31" t="n">
        <v>1</v>
      </c>
      <c r="C85" s="32" t="n"/>
      <c r="D85" s="18" t="n"/>
      <c r="E85" s="18" t="n"/>
      <c r="F85" s="18" t="n"/>
      <c r="G85" s="18" t="n"/>
      <c r="H85" s="33">
        <f>IF(OR($D85="",$E85="",$F85=""),"",ROUND($D85*$E85*$F85,0))</f>
        <v/>
      </c>
      <c r="I85" s="34">
        <f>IF(OR($E85="",$F85=""),"",ROUND($F85*(1+$E85/30),1))</f>
        <v/>
      </c>
      <c r="J85" s="35">
        <f>IF($C85="","",_xlfn.MAXIFS($I$9:$I84,$C$9:$C84,$C85))</f>
        <v/>
      </c>
      <c r="K85" s="36">
        <f>IF(OR($C85="",$I85=""),"",IF($I85&gt;$J85,"PR",""))</f>
        <v/>
      </c>
      <c r="L85" s="37">
        <f>IF($B85=$B84,"",IF(SUMIFS($H$10:$H$297,$A$10:$A$297,$A85,$B$10:$B$297,$B85)=0,"",SUMIFS($H$10:$H$297,$A$10:$A$297,$A85,$B$10:$B$297,$B85)))</f>
        <v/>
      </c>
    </row>
    <row r="86">
      <c r="A86" s="31" t="n">
        <v>4</v>
      </c>
      <c r="B86" s="31" t="n">
        <v>1</v>
      </c>
      <c r="C86" s="32" t="n"/>
      <c r="D86" s="18" t="n"/>
      <c r="E86" s="18" t="n"/>
      <c r="F86" s="18" t="n"/>
      <c r="G86" s="18" t="n"/>
      <c r="H86" s="33">
        <f>IF(OR($D86="",$E86="",$F86=""),"",ROUND($D86*$E86*$F86,0))</f>
        <v/>
      </c>
      <c r="I86" s="34">
        <f>IF(OR($E86="",$F86=""),"",ROUND($F86*(1+$E86/30),1))</f>
        <v/>
      </c>
      <c r="J86" s="35">
        <f>IF($C86="","",_xlfn.MAXIFS($I$9:$I85,$C$9:$C85,$C86))</f>
        <v/>
      </c>
      <c r="K86" s="36">
        <f>IF(OR($C86="",$I86=""),"",IF($I86&gt;$J86,"PR",""))</f>
        <v/>
      </c>
      <c r="L86" s="37">
        <f>IF($B86=$B85,"",IF(SUMIFS($H$10:$H$297,$A$10:$A$297,$A86,$B$10:$B$297,$B86)=0,"",SUMIFS($H$10:$H$297,$A$10:$A$297,$A86,$B$10:$B$297,$B86)))</f>
        <v/>
      </c>
    </row>
    <row r="87">
      <c r="A87" s="31" t="n">
        <v>4</v>
      </c>
      <c r="B87" s="31" t="n">
        <v>1</v>
      </c>
      <c r="C87" s="32" t="n"/>
      <c r="D87" s="18" t="n"/>
      <c r="E87" s="18" t="n"/>
      <c r="F87" s="18" t="n"/>
      <c r="G87" s="18" t="n"/>
      <c r="H87" s="33">
        <f>IF(OR($D87="",$E87="",$F87=""),"",ROUND($D87*$E87*$F87,0))</f>
        <v/>
      </c>
      <c r="I87" s="34">
        <f>IF(OR($E87="",$F87=""),"",ROUND($F87*(1+$E87/30),1))</f>
        <v/>
      </c>
      <c r="J87" s="35">
        <f>IF($C87="","",_xlfn.MAXIFS($I$9:$I86,$C$9:$C86,$C87))</f>
        <v/>
      </c>
      <c r="K87" s="36">
        <f>IF(OR($C87="",$I87=""),"",IF($I87&gt;$J87,"PR",""))</f>
        <v/>
      </c>
      <c r="L87" s="37">
        <f>IF($B87=$B86,"",IF(SUMIFS($H$10:$H$297,$A$10:$A$297,$A87,$B$10:$B$297,$B87)=0,"",SUMIFS($H$10:$H$297,$A$10:$A$297,$A87,$B$10:$B$297,$B87)))</f>
        <v/>
      </c>
    </row>
    <row r="88">
      <c r="A88" s="38" t="n">
        <v>4</v>
      </c>
      <c r="B88" s="38" t="n">
        <v>2</v>
      </c>
      <c r="C88" s="39" t="n"/>
      <c r="D88" s="40" t="n"/>
      <c r="E88" s="40" t="n"/>
      <c r="F88" s="40" t="n"/>
      <c r="G88" s="40" t="n"/>
      <c r="H88" s="41">
        <f>IF(OR($D88="",$E88="",$F88=""),"",ROUND($D88*$E88*$F88,0))</f>
        <v/>
      </c>
      <c r="I88" s="42">
        <f>IF(OR($E88="",$F88=""),"",ROUND($F88*(1+$E88/30),1))</f>
        <v/>
      </c>
      <c r="J88" s="43">
        <f>IF($C88="","",_xlfn.MAXIFS($I$9:$I87,$C$9:$C87,$C88))</f>
        <v/>
      </c>
      <c r="K88" s="44">
        <f>IF(OR($C88="",$I88=""),"",IF($I88&gt;$J88,"PR",""))</f>
        <v/>
      </c>
      <c r="L88" s="45">
        <f>IF($B88=$B87,"",IF(SUMIFS($H$10:$H$297,$A$10:$A$297,$A88,$B$10:$B$297,$B88)=0,"",SUMIFS($H$10:$H$297,$A$10:$A$297,$A88,$B$10:$B$297,$B88)))</f>
        <v/>
      </c>
    </row>
    <row r="89">
      <c r="A89" s="31" t="n">
        <v>4</v>
      </c>
      <c r="B89" s="31" t="n">
        <v>2</v>
      </c>
      <c r="C89" s="32" t="n"/>
      <c r="D89" s="18" t="n"/>
      <c r="E89" s="18" t="n"/>
      <c r="F89" s="18" t="n"/>
      <c r="G89" s="18" t="n"/>
      <c r="H89" s="33">
        <f>IF(OR($D89="",$E89="",$F89=""),"",ROUND($D89*$E89*$F89,0))</f>
        <v/>
      </c>
      <c r="I89" s="34">
        <f>IF(OR($E89="",$F89=""),"",ROUND($F89*(1+$E89/30),1))</f>
        <v/>
      </c>
      <c r="J89" s="35">
        <f>IF($C89="","",_xlfn.MAXIFS($I$9:$I88,$C$9:$C88,$C89))</f>
        <v/>
      </c>
      <c r="K89" s="36">
        <f>IF(OR($C89="",$I89=""),"",IF($I89&gt;$J89,"PR",""))</f>
        <v/>
      </c>
      <c r="L89" s="37">
        <f>IF($B89=$B88,"",IF(SUMIFS($H$10:$H$297,$A$10:$A$297,$A89,$B$10:$B$297,$B89)=0,"",SUMIFS($H$10:$H$297,$A$10:$A$297,$A89,$B$10:$B$297,$B89)))</f>
        <v/>
      </c>
    </row>
    <row r="90">
      <c r="A90" s="31" t="n">
        <v>4</v>
      </c>
      <c r="B90" s="31" t="n">
        <v>2</v>
      </c>
      <c r="C90" s="32" t="n"/>
      <c r="D90" s="18" t="n"/>
      <c r="E90" s="18" t="n"/>
      <c r="F90" s="18" t="n"/>
      <c r="G90" s="18" t="n"/>
      <c r="H90" s="33">
        <f>IF(OR($D90="",$E90="",$F90=""),"",ROUND($D90*$E90*$F90,0))</f>
        <v/>
      </c>
      <c r="I90" s="34">
        <f>IF(OR($E90="",$F90=""),"",ROUND($F90*(1+$E90/30),1))</f>
        <v/>
      </c>
      <c r="J90" s="35">
        <f>IF($C90="","",_xlfn.MAXIFS($I$9:$I89,$C$9:$C89,$C90))</f>
        <v/>
      </c>
      <c r="K90" s="36">
        <f>IF(OR($C90="",$I90=""),"",IF($I90&gt;$J90,"PR",""))</f>
        <v/>
      </c>
      <c r="L90" s="37">
        <f>IF($B90=$B89,"",IF(SUMIFS($H$10:$H$297,$A$10:$A$297,$A90,$B$10:$B$297,$B90)=0,"",SUMIFS($H$10:$H$297,$A$10:$A$297,$A90,$B$10:$B$297,$B90)))</f>
        <v/>
      </c>
    </row>
    <row r="91">
      <c r="A91" s="31" t="n">
        <v>4</v>
      </c>
      <c r="B91" s="31" t="n">
        <v>2</v>
      </c>
      <c r="C91" s="32" t="n"/>
      <c r="D91" s="18" t="n"/>
      <c r="E91" s="18" t="n"/>
      <c r="F91" s="18" t="n"/>
      <c r="G91" s="18" t="n"/>
      <c r="H91" s="33">
        <f>IF(OR($D91="",$E91="",$F91=""),"",ROUND($D91*$E91*$F91,0))</f>
        <v/>
      </c>
      <c r="I91" s="34">
        <f>IF(OR($E91="",$F91=""),"",ROUND($F91*(1+$E91/30),1))</f>
        <v/>
      </c>
      <c r="J91" s="35">
        <f>IF($C91="","",_xlfn.MAXIFS($I$9:$I90,$C$9:$C90,$C91))</f>
        <v/>
      </c>
      <c r="K91" s="36">
        <f>IF(OR($C91="",$I91=""),"",IF($I91&gt;$J91,"PR",""))</f>
        <v/>
      </c>
      <c r="L91" s="37">
        <f>IF($B91=$B90,"",IF(SUMIFS($H$10:$H$297,$A$10:$A$297,$A91,$B$10:$B$297,$B91)=0,"",SUMIFS($H$10:$H$297,$A$10:$A$297,$A91,$B$10:$B$297,$B91)))</f>
        <v/>
      </c>
    </row>
    <row r="92">
      <c r="A92" s="31" t="n">
        <v>4</v>
      </c>
      <c r="B92" s="31" t="n">
        <v>2</v>
      </c>
      <c r="C92" s="32" t="n"/>
      <c r="D92" s="18" t="n"/>
      <c r="E92" s="18" t="n"/>
      <c r="F92" s="18" t="n"/>
      <c r="G92" s="18" t="n"/>
      <c r="H92" s="33">
        <f>IF(OR($D92="",$E92="",$F92=""),"",ROUND($D92*$E92*$F92,0))</f>
        <v/>
      </c>
      <c r="I92" s="34">
        <f>IF(OR($E92="",$F92=""),"",ROUND($F92*(1+$E92/30),1))</f>
        <v/>
      </c>
      <c r="J92" s="35">
        <f>IF($C92="","",_xlfn.MAXIFS($I$9:$I91,$C$9:$C91,$C92))</f>
        <v/>
      </c>
      <c r="K92" s="36">
        <f>IF(OR($C92="",$I92=""),"",IF($I92&gt;$J92,"PR",""))</f>
        <v/>
      </c>
      <c r="L92" s="37">
        <f>IF($B92=$B91,"",IF(SUMIFS($H$10:$H$297,$A$10:$A$297,$A92,$B$10:$B$297,$B92)=0,"",SUMIFS($H$10:$H$297,$A$10:$A$297,$A92,$B$10:$B$297,$B92)))</f>
        <v/>
      </c>
    </row>
    <row r="93">
      <c r="A93" s="31" t="n">
        <v>4</v>
      </c>
      <c r="B93" s="31" t="n">
        <v>2</v>
      </c>
      <c r="C93" s="32" t="n"/>
      <c r="D93" s="18" t="n"/>
      <c r="E93" s="18" t="n"/>
      <c r="F93" s="18" t="n"/>
      <c r="G93" s="18" t="n"/>
      <c r="H93" s="33">
        <f>IF(OR($D93="",$E93="",$F93=""),"",ROUND($D93*$E93*$F93,0))</f>
        <v/>
      </c>
      <c r="I93" s="34">
        <f>IF(OR($E93="",$F93=""),"",ROUND($F93*(1+$E93/30),1))</f>
        <v/>
      </c>
      <c r="J93" s="35">
        <f>IF($C93="","",_xlfn.MAXIFS($I$9:$I92,$C$9:$C92,$C93))</f>
        <v/>
      </c>
      <c r="K93" s="36">
        <f>IF(OR($C93="",$I93=""),"",IF($I93&gt;$J93,"PR",""))</f>
        <v/>
      </c>
      <c r="L93" s="37">
        <f>IF($B93=$B92,"",IF(SUMIFS($H$10:$H$297,$A$10:$A$297,$A93,$B$10:$B$297,$B93)=0,"",SUMIFS($H$10:$H$297,$A$10:$A$297,$A93,$B$10:$B$297,$B93)))</f>
        <v/>
      </c>
    </row>
    <row r="94">
      <c r="A94" s="38" t="n">
        <v>4</v>
      </c>
      <c r="B94" s="38" t="n">
        <v>3</v>
      </c>
      <c r="C94" s="39" t="n"/>
      <c r="D94" s="40" t="n"/>
      <c r="E94" s="40" t="n"/>
      <c r="F94" s="40" t="n"/>
      <c r="G94" s="40" t="n"/>
      <c r="H94" s="41">
        <f>IF(OR($D94="",$E94="",$F94=""),"",ROUND($D94*$E94*$F94,0))</f>
        <v/>
      </c>
      <c r="I94" s="42">
        <f>IF(OR($E94="",$F94=""),"",ROUND($F94*(1+$E94/30),1))</f>
        <v/>
      </c>
      <c r="J94" s="43">
        <f>IF($C94="","",_xlfn.MAXIFS($I$9:$I93,$C$9:$C93,$C94))</f>
        <v/>
      </c>
      <c r="K94" s="44">
        <f>IF(OR($C94="",$I94=""),"",IF($I94&gt;$J94,"PR",""))</f>
        <v/>
      </c>
      <c r="L94" s="45">
        <f>IF($B94=$B93,"",IF(SUMIFS($H$10:$H$297,$A$10:$A$297,$A94,$B$10:$B$297,$B94)=0,"",SUMIFS($H$10:$H$297,$A$10:$A$297,$A94,$B$10:$B$297,$B94)))</f>
        <v/>
      </c>
    </row>
    <row r="95">
      <c r="A95" s="31" t="n">
        <v>4</v>
      </c>
      <c r="B95" s="31" t="n">
        <v>3</v>
      </c>
      <c r="C95" s="32" t="n"/>
      <c r="D95" s="18" t="n"/>
      <c r="E95" s="18" t="n"/>
      <c r="F95" s="18" t="n"/>
      <c r="G95" s="18" t="n"/>
      <c r="H95" s="33">
        <f>IF(OR($D95="",$E95="",$F95=""),"",ROUND($D95*$E95*$F95,0))</f>
        <v/>
      </c>
      <c r="I95" s="34">
        <f>IF(OR($E95="",$F95=""),"",ROUND($F95*(1+$E95/30),1))</f>
        <v/>
      </c>
      <c r="J95" s="35">
        <f>IF($C95="","",_xlfn.MAXIFS($I$9:$I94,$C$9:$C94,$C95))</f>
        <v/>
      </c>
      <c r="K95" s="36">
        <f>IF(OR($C95="",$I95=""),"",IF($I95&gt;$J95,"PR",""))</f>
        <v/>
      </c>
      <c r="L95" s="37">
        <f>IF($B95=$B94,"",IF(SUMIFS($H$10:$H$297,$A$10:$A$297,$A95,$B$10:$B$297,$B95)=0,"",SUMIFS($H$10:$H$297,$A$10:$A$297,$A95,$B$10:$B$297,$B95)))</f>
        <v/>
      </c>
    </row>
    <row r="96">
      <c r="A96" s="31" t="n">
        <v>4</v>
      </c>
      <c r="B96" s="31" t="n">
        <v>3</v>
      </c>
      <c r="C96" s="32" t="n"/>
      <c r="D96" s="18" t="n"/>
      <c r="E96" s="18" t="n"/>
      <c r="F96" s="18" t="n"/>
      <c r="G96" s="18" t="n"/>
      <c r="H96" s="33">
        <f>IF(OR($D96="",$E96="",$F96=""),"",ROUND($D96*$E96*$F96,0))</f>
        <v/>
      </c>
      <c r="I96" s="34">
        <f>IF(OR($E96="",$F96=""),"",ROUND($F96*(1+$E96/30),1))</f>
        <v/>
      </c>
      <c r="J96" s="35">
        <f>IF($C96="","",_xlfn.MAXIFS($I$9:$I95,$C$9:$C95,$C96))</f>
        <v/>
      </c>
      <c r="K96" s="36">
        <f>IF(OR($C96="",$I96=""),"",IF($I96&gt;$J96,"PR",""))</f>
        <v/>
      </c>
      <c r="L96" s="37">
        <f>IF($B96=$B95,"",IF(SUMIFS($H$10:$H$297,$A$10:$A$297,$A96,$B$10:$B$297,$B96)=0,"",SUMIFS($H$10:$H$297,$A$10:$A$297,$A96,$B$10:$B$297,$B96)))</f>
        <v/>
      </c>
    </row>
    <row r="97">
      <c r="A97" s="31" t="n">
        <v>4</v>
      </c>
      <c r="B97" s="31" t="n">
        <v>3</v>
      </c>
      <c r="C97" s="32" t="n"/>
      <c r="D97" s="18" t="n"/>
      <c r="E97" s="18" t="n"/>
      <c r="F97" s="18" t="n"/>
      <c r="G97" s="18" t="n"/>
      <c r="H97" s="33">
        <f>IF(OR($D97="",$E97="",$F97=""),"",ROUND($D97*$E97*$F97,0))</f>
        <v/>
      </c>
      <c r="I97" s="34">
        <f>IF(OR($E97="",$F97=""),"",ROUND($F97*(1+$E97/30),1))</f>
        <v/>
      </c>
      <c r="J97" s="35">
        <f>IF($C97="","",_xlfn.MAXIFS($I$9:$I96,$C$9:$C96,$C97))</f>
        <v/>
      </c>
      <c r="K97" s="36">
        <f>IF(OR($C97="",$I97=""),"",IF($I97&gt;$J97,"PR",""))</f>
        <v/>
      </c>
      <c r="L97" s="37">
        <f>IF($B97=$B96,"",IF(SUMIFS($H$10:$H$297,$A$10:$A$297,$A97,$B$10:$B$297,$B97)=0,"",SUMIFS($H$10:$H$297,$A$10:$A$297,$A97,$B$10:$B$297,$B97)))</f>
        <v/>
      </c>
    </row>
    <row r="98">
      <c r="A98" s="31" t="n">
        <v>4</v>
      </c>
      <c r="B98" s="31" t="n">
        <v>3</v>
      </c>
      <c r="C98" s="32" t="n"/>
      <c r="D98" s="18" t="n"/>
      <c r="E98" s="18" t="n"/>
      <c r="F98" s="18" t="n"/>
      <c r="G98" s="18" t="n"/>
      <c r="H98" s="33">
        <f>IF(OR($D98="",$E98="",$F98=""),"",ROUND($D98*$E98*$F98,0))</f>
        <v/>
      </c>
      <c r="I98" s="34">
        <f>IF(OR($E98="",$F98=""),"",ROUND($F98*(1+$E98/30),1))</f>
        <v/>
      </c>
      <c r="J98" s="35">
        <f>IF($C98="","",_xlfn.MAXIFS($I$9:$I97,$C$9:$C97,$C98))</f>
        <v/>
      </c>
      <c r="K98" s="36">
        <f>IF(OR($C98="",$I98=""),"",IF($I98&gt;$J98,"PR",""))</f>
        <v/>
      </c>
      <c r="L98" s="37">
        <f>IF($B98=$B97,"",IF(SUMIFS($H$10:$H$297,$A$10:$A$297,$A98,$B$10:$B$297,$B98)=0,"",SUMIFS($H$10:$H$297,$A$10:$A$297,$A98,$B$10:$B$297,$B98)))</f>
        <v/>
      </c>
    </row>
    <row r="99">
      <c r="A99" s="31" t="n">
        <v>4</v>
      </c>
      <c r="B99" s="31" t="n">
        <v>3</v>
      </c>
      <c r="C99" s="32" t="n"/>
      <c r="D99" s="18" t="n"/>
      <c r="E99" s="18" t="n"/>
      <c r="F99" s="18" t="n"/>
      <c r="G99" s="18" t="n"/>
      <c r="H99" s="33">
        <f>IF(OR($D99="",$E99="",$F99=""),"",ROUND($D99*$E99*$F99,0))</f>
        <v/>
      </c>
      <c r="I99" s="34">
        <f>IF(OR($E99="",$F99=""),"",ROUND($F99*(1+$E99/30),1))</f>
        <v/>
      </c>
      <c r="J99" s="35">
        <f>IF($C99="","",_xlfn.MAXIFS($I$9:$I98,$C$9:$C98,$C99))</f>
        <v/>
      </c>
      <c r="K99" s="36">
        <f>IF(OR($C99="",$I99=""),"",IF($I99&gt;$J99,"PR",""))</f>
        <v/>
      </c>
      <c r="L99" s="37">
        <f>IF($B99=$B98,"",IF(SUMIFS($H$10:$H$297,$A$10:$A$297,$A99,$B$10:$B$297,$B99)=0,"",SUMIFS($H$10:$H$297,$A$10:$A$297,$A99,$B$10:$B$297,$B99)))</f>
        <v/>
      </c>
    </row>
    <row r="100">
      <c r="A100" s="38" t="n">
        <v>4</v>
      </c>
      <c r="B100" s="38" t="n">
        <v>4</v>
      </c>
      <c r="C100" s="39" t="n"/>
      <c r="D100" s="40" t="n"/>
      <c r="E100" s="40" t="n"/>
      <c r="F100" s="40" t="n"/>
      <c r="G100" s="40" t="n"/>
      <c r="H100" s="41">
        <f>IF(OR($D100="",$E100="",$F100=""),"",ROUND($D100*$E100*$F100,0))</f>
        <v/>
      </c>
      <c r="I100" s="42">
        <f>IF(OR($E100="",$F100=""),"",ROUND($F100*(1+$E100/30),1))</f>
        <v/>
      </c>
      <c r="J100" s="43">
        <f>IF($C100="","",_xlfn.MAXIFS($I$9:$I99,$C$9:$C99,$C100))</f>
        <v/>
      </c>
      <c r="K100" s="44">
        <f>IF(OR($C100="",$I100=""),"",IF($I100&gt;$J100,"PR",""))</f>
        <v/>
      </c>
      <c r="L100" s="45">
        <f>IF($B100=$B99,"",IF(SUMIFS($H$10:$H$297,$A$10:$A$297,$A100,$B$10:$B$297,$B100)=0,"",SUMIFS($H$10:$H$297,$A$10:$A$297,$A100,$B$10:$B$297,$B100)))</f>
        <v/>
      </c>
    </row>
    <row r="101">
      <c r="A101" s="31" t="n">
        <v>4</v>
      </c>
      <c r="B101" s="31" t="n">
        <v>4</v>
      </c>
      <c r="C101" s="32" t="n"/>
      <c r="D101" s="18" t="n"/>
      <c r="E101" s="18" t="n"/>
      <c r="F101" s="18" t="n"/>
      <c r="G101" s="18" t="n"/>
      <c r="H101" s="33">
        <f>IF(OR($D101="",$E101="",$F101=""),"",ROUND($D101*$E101*$F101,0))</f>
        <v/>
      </c>
      <c r="I101" s="34">
        <f>IF(OR($E101="",$F101=""),"",ROUND($F101*(1+$E101/30),1))</f>
        <v/>
      </c>
      <c r="J101" s="35">
        <f>IF($C101="","",_xlfn.MAXIFS($I$9:$I100,$C$9:$C100,$C101))</f>
        <v/>
      </c>
      <c r="K101" s="36">
        <f>IF(OR($C101="",$I101=""),"",IF($I101&gt;$J101,"PR",""))</f>
        <v/>
      </c>
      <c r="L101" s="37">
        <f>IF($B101=$B100,"",IF(SUMIFS($H$10:$H$297,$A$10:$A$297,$A101,$B$10:$B$297,$B101)=0,"",SUMIFS($H$10:$H$297,$A$10:$A$297,$A101,$B$10:$B$297,$B101)))</f>
        <v/>
      </c>
    </row>
    <row r="102">
      <c r="A102" s="31" t="n">
        <v>4</v>
      </c>
      <c r="B102" s="31" t="n">
        <v>4</v>
      </c>
      <c r="C102" s="32" t="n"/>
      <c r="D102" s="18" t="n"/>
      <c r="E102" s="18" t="n"/>
      <c r="F102" s="18" t="n"/>
      <c r="G102" s="18" t="n"/>
      <c r="H102" s="33">
        <f>IF(OR($D102="",$E102="",$F102=""),"",ROUND($D102*$E102*$F102,0))</f>
        <v/>
      </c>
      <c r="I102" s="34">
        <f>IF(OR($E102="",$F102=""),"",ROUND($F102*(1+$E102/30),1))</f>
        <v/>
      </c>
      <c r="J102" s="35">
        <f>IF($C102="","",_xlfn.MAXIFS($I$9:$I101,$C$9:$C101,$C102))</f>
        <v/>
      </c>
      <c r="K102" s="36">
        <f>IF(OR($C102="",$I102=""),"",IF($I102&gt;$J102,"PR",""))</f>
        <v/>
      </c>
      <c r="L102" s="37">
        <f>IF($B102=$B101,"",IF(SUMIFS($H$10:$H$297,$A$10:$A$297,$A102,$B$10:$B$297,$B102)=0,"",SUMIFS($H$10:$H$297,$A$10:$A$297,$A102,$B$10:$B$297,$B102)))</f>
        <v/>
      </c>
    </row>
    <row r="103">
      <c r="A103" s="31" t="n">
        <v>4</v>
      </c>
      <c r="B103" s="31" t="n">
        <v>4</v>
      </c>
      <c r="C103" s="32" t="n"/>
      <c r="D103" s="18" t="n"/>
      <c r="E103" s="18" t="n"/>
      <c r="F103" s="18" t="n"/>
      <c r="G103" s="18" t="n"/>
      <c r="H103" s="33">
        <f>IF(OR($D103="",$E103="",$F103=""),"",ROUND($D103*$E103*$F103,0))</f>
        <v/>
      </c>
      <c r="I103" s="34">
        <f>IF(OR($E103="",$F103=""),"",ROUND($F103*(1+$E103/30),1))</f>
        <v/>
      </c>
      <c r="J103" s="35">
        <f>IF($C103="","",_xlfn.MAXIFS($I$9:$I102,$C$9:$C102,$C103))</f>
        <v/>
      </c>
      <c r="K103" s="36">
        <f>IF(OR($C103="",$I103=""),"",IF($I103&gt;$J103,"PR",""))</f>
        <v/>
      </c>
      <c r="L103" s="37">
        <f>IF($B103=$B102,"",IF(SUMIFS($H$10:$H$297,$A$10:$A$297,$A103,$B$10:$B$297,$B103)=0,"",SUMIFS($H$10:$H$297,$A$10:$A$297,$A103,$B$10:$B$297,$B103)))</f>
        <v/>
      </c>
    </row>
    <row r="104">
      <c r="A104" s="31" t="n">
        <v>4</v>
      </c>
      <c r="B104" s="31" t="n">
        <v>4</v>
      </c>
      <c r="C104" s="32" t="n"/>
      <c r="D104" s="18" t="n"/>
      <c r="E104" s="18" t="n"/>
      <c r="F104" s="18" t="n"/>
      <c r="G104" s="18" t="n"/>
      <c r="H104" s="33">
        <f>IF(OR($D104="",$E104="",$F104=""),"",ROUND($D104*$E104*$F104,0))</f>
        <v/>
      </c>
      <c r="I104" s="34">
        <f>IF(OR($E104="",$F104=""),"",ROUND($F104*(1+$E104/30),1))</f>
        <v/>
      </c>
      <c r="J104" s="35">
        <f>IF($C104="","",_xlfn.MAXIFS($I$9:$I103,$C$9:$C103,$C104))</f>
        <v/>
      </c>
      <c r="K104" s="36">
        <f>IF(OR($C104="",$I104=""),"",IF($I104&gt;$J104,"PR",""))</f>
        <v/>
      </c>
      <c r="L104" s="37">
        <f>IF($B104=$B103,"",IF(SUMIFS($H$10:$H$297,$A$10:$A$297,$A104,$B$10:$B$297,$B104)=0,"",SUMIFS($H$10:$H$297,$A$10:$A$297,$A104,$B$10:$B$297,$B104)))</f>
        <v/>
      </c>
    </row>
    <row r="105">
      <c r="A105" s="31" t="n">
        <v>4</v>
      </c>
      <c r="B105" s="31" t="n">
        <v>4</v>
      </c>
      <c r="C105" s="32" t="n"/>
      <c r="D105" s="18" t="n"/>
      <c r="E105" s="18" t="n"/>
      <c r="F105" s="18" t="n"/>
      <c r="G105" s="18" t="n"/>
      <c r="H105" s="33">
        <f>IF(OR($D105="",$E105="",$F105=""),"",ROUND($D105*$E105*$F105,0))</f>
        <v/>
      </c>
      <c r="I105" s="34">
        <f>IF(OR($E105="",$F105=""),"",ROUND($F105*(1+$E105/30),1))</f>
        <v/>
      </c>
      <c r="J105" s="35">
        <f>IF($C105="","",_xlfn.MAXIFS($I$9:$I104,$C$9:$C104,$C105))</f>
        <v/>
      </c>
      <c r="K105" s="36">
        <f>IF(OR($C105="",$I105=""),"",IF($I105&gt;$J105,"PR",""))</f>
        <v/>
      </c>
      <c r="L105" s="37">
        <f>IF($B105=$B104,"",IF(SUMIFS($H$10:$H$297,$A$10:$A$297,$A105,$B$10:$B$297,$B105)=0,"",SUMIFS($H$10:$H$297,$A$10:$A$297,$A105,$B$10:$B$297,$B105)))</f>
        <v/>
      </c>
    </row>
    <row r="106">
      <c r="A106" s="23" t="n">
        <v>5</v>
      </c>
      <c r="B106" s="23" t="n">
        <v>1</v>
      </c>
      <c r="C106" s="24" t="n"/>
      <c r="D106" s="25" t="n"/>
      <c r="E106" s="25" t="n"/>
      <c r="F106" s="25" t="n"/>
      <c r="G106" s="25" t="n"/>
      <c r="H106" s="26">
        <f>IF(OR($D106="",$E106="",$F106=""),"",ROUND($D106*$E106*$F106,0))</f>
        <v/>
      </c>
      <c r="I106" s="27">
        <f>IF(OR($E106="",$F106=""),"",ROUND($F106*(1+$E106/30),1))</f>
        <v/>
      </c>
      <c r="J106" s="28">
        <f>IF($C106="","",_xlfn.MAXIFS($I$9:$I105,$C$9:$C105,$C106))</f>
        <v/>
      </c>
      <c r="K106" s="29">
        <f>IF(OR($C106="",$I106=""),"",IF($I106&gt;$J106,"PR",""))</f>
        <v/>
      </c>
      <c r="L106" s="30">
        <f>IF($B106=$B105,"",IF(SUMIFS($H$10:$H$297,$A$10:$A$297,$A106,$B$10:$B$297,$B106)=0,"",SUMIFS($H$10:$H$297,$A$10:$A$297,$A106,$B$10:$B$297,$B106)))</f>
        <v/>
      </c>
    </row>
    <row r="107">
      <c r="A107" s="31" t="n">
        <v>5</v>
      </c>
      <c r="B107" s="31" t="n">
        <v>1</v>
      </c>
      <c r="C107" s="32" t="n"/>
      <c r="D107" s="18" t="n"/>
      <c r="E107" s="18" t="n"/>
      <c r="F107" s="18" t="n"/>
      <c r="G107" s="18" t="n"/>
      <c r="H107" s="33">
        <f>IF(OR($D107="",$E107="",$F107=""),"",ROUND($D107*$E107*$F107,0))</f>
        <v/>
      </c>
      <c r="I107" s="34">
        <f>IF(OR($E107="",$F107=""),"",ROUND($F107*(1+$E107/30),1))</f>
        <v/>
      </c>
      <c r="J107" s="35">
        <f>IF($C107="","",_xlfn.MAXIFS($I$9:$I106,$C$9:$C106,$C107))</f>
        <v/>
      </c>
      <c r="K107" s="36">
        <f>IF(OR($C107="",$I107=""),"",IF($I107&gt;$J107,"PR",""))</f>
        <v/>
      </c>
      <c r="L107" s="37">
        <f>IF($B107=$B106,"",IF(SUMIFS($H$10:$H$297,$A$10:$A$297,$A107,$B$10:$B$297,$B107)=0,"",SUMIFS($H$10:$H$297,$A$10:$A$297,$A107,$B$10:$B$297,$B107)))</f>
        <v/>
      </c>
    </row>
    <row r="108">
      <c r="A108" s="31" t="n">
        <v>5</v>
      </c>
      <c r="B108" s="31" t="n">
        <v>1</v>
      </c>
      <c r="C108" s="32" t="n"/>
      <c r="D108" s="18" t="n"/>
      <c r="E108" s="18" t="n"/>
      <c r="F108" s="18" t="n"/>
      <c r="G108" s="18" t="n"/>
      <c r="H108" s="33">
        <f>IF(OR($D108="",$E108="",$F108=""),"",ROUND($D108*$E108*$F108,0))</f>
        <v/>
      </c>
      <c r="I108" s="34">
        <f>IF(OR($E108="",$F108=""),"",ROUND($F108*(1+$E108/30),1))</f>
        <v/>
      </c>
      <c r="J108" s="35">
        <f>IF($C108="","",_xlfn.MAXIFS($I$9:$I107,$C$9:$C107,$C108))</f>
        <v/>
      </c>
      <c r="K108" s="36">
        <f>IF(OR($C108="",$I108=""),"",IF($I108&gt;$J108,"PR",""))</f>
        <v/>
      </c>
      <c r="L108" s="37">
        <f>IF($B108=$B107,"",IF(SUMIFS($H$10:$H$297,$A$10:$A$297,$A108,$B$10:$B$297,$B108)=0,"",SUMIFS($H$10:$H$297,$A$10:$A$297,$A108,$B$10:$B$297,$B108)))</f>
        <v/>
      </c>
    </row>
    <row r="109">
      <c r="A109" s="31" t="n">
        <v>5</v>
      </c>
      <c r="B109" s="31" t="n">
        <v>1</v>
      </c>
      <c r="C109" s="32" t="n"/>
      <c r="D109" s="18" t="n"/>
      <c r="E109" s="18" t="n"/>
      <c r="F109" s="18" t="n"/>
      <c r="G109" s="18" t="n"/>
      <c r="H109" s="33">
        <f>IF(OR($D109="",$E109="",$F109=""),"",ROUND($D109*$E109*$F109,0))</f>
        <v/>
      </c>
      <c r="I109" s="34">
        <f>IF(OR($E109="",$F109=""),"",ROUND($F109*(1+$E109/30),1))</f>
        <v/>
      </c>
      <c r="J109" s="35">
        <f>IF($C109="","",_xlfn.MAXIFS($I$9:$I108,$C$9:$C108,$C109))</f>
        <v/>
      </c>
      <c r="K109" s="36">
        <f>IF(OR($C109="",$I109=""),"",IF($I109&gt;$J109,"PR",""))</f>
        <v/>
      </c>
      <c r="L109" s="37">
        <f>IF($B109=$B108,"",IF(SUMIFS($H$10:$H$297,$A$10:$A$297,$A109,$B$10:$B$297,$B109)=0,"",SUMIFS($H$10:$H$297,$A$10:$A$297,$A109,$B$10:$B$297,$B109)))</f>
        <v/>
      </c>
    </row>
    <row r="110">
      <c r="A110" s="31" t="n">
        <v>5</v>
      </c>
      <c r="B110" s="31" t="n">
        <v>1</v>
      </c>
      <c r="C110" s="32" t="n"/>
      <c r="D110" s="18" t="n"/>
      <c r="E110" s="18" t="n"/>
      <c r="F110" s="18" t="n"/>
      <c r="G110" s="18" t="n"/>
      <c r="H110" s="33">
        <f>IF(OR($D110="",$E110="",$F110=""),"",ROUND($D110*$E110*$F110,0))</f>
        <v/>
      </c>
      <c r="I110" s="34">
        <f>IF(OR($E110="",$F110=""),"",ROUND($F110*(1+$E110/30),1))</f>
        <v/>
      </c>
      <c r="J110" s="35">
        <f>IF($C110="","",_xlfn.MAXIFS($I$9:$I109,$C$9:$C109,$C110))</f>
        <v/>
      </c>
      <c r="K110" s="36">
        <f>IF(OR($C110="",$I110=""),"",IF($I110&gt;$J110,"PR",""))</f>
        <v/>
      </c>
      <c r="L110" s="37">
        <f>IF($B110=$B109,"",IF(SUMIFS($H$10:$H$297,$A$10:$A$297,$A110,$B$10:$B$297,$B110)=0,"",SUMIFS($H$10:$H$297,$A$10:$A$297,$A110,$B$10:$B$297,$B110)))</f>
        <v/>
      </c>
    </row>
    <row r="111">
      <c r="A111" s="31" t="n">
        <v>5</v>
      </c>
      <c r="B111" s="31" t="n">
        <v>1</v>
      </c>
      <c r="C111" s="32" t="n"/>
      <c r="D111" s="18" t="n"/>
      <c r="E111" s="18" t="n"/>
      <c r="F111" s="18" t="n"/>
      <c r="G111" s="18" t="n"/>
      <c r="H111" s="33">
        <f>IF(OR($D111="",$E111="",$F111=""),"",ROUND($D111*$E111*$F111,0))</f>
        <v/>
      </c>
      <c r="I111" s="34">
        <f>IF(OR($E111="",$F111=""),"",ROUND($F111*(1+$E111/30),1))</f>
        <v/>
      </c>
      <c r="J111" s="35">
        <f>IF($C111="","",_xlfn.MAXIFS($I$9:$I110,$C$9:$C110,$C111))</f>
        <v/>
      </c>
      <c r="K111" s="36">
        <f>IF(OR($C111="",$I111=""),"",IF($I111&gt;$J111,"PR",""))</f>
        <v/>
      </c>
      <c r="L111" s="37">
        <f>IF($B111=$B110,"",IF(SUMIFS($H$10:$H$297,$A$10:$A$297,$A111,$B$10:$B$297,$B111)=0,"",SUMIFS($H$10:$H$297,$A$10:$A$297,$A111,$B$10:$B$297,$B111)))</f>
        <v/>
      </c>
    </row>
    <row r="112">
      <c r="A112" s="38" t="n">
        <v>5</v>
      </c>
      <c r="B112" s="38" t="n">
        <v>2</v>
      </c>
      <c r="C112" s="39" t="n"/>
      <c r="D112" s="40" t="n"/>
      <c r="E112" s="40" t="n"/>
      <c r="F112" s="40" t="n"/>
      <c r="G112" s="40" t="n"/>
      <c r="H112" s="41">
        <f>IF(OR($D112="",$E112="",$F112=""),"",ROUND($D112*$E112*$F112,0))</f>
        <v/>
      </c>
      <c r="I112" s="42">
        <f>IF(OR($E112="",$F112=""),"",ROUND($F112*(1+$E112/30),1))</f>
        <v/>
      </c>
      <c r="J112" s="43">
        <f>IF($C112="","",_xlfn.MAXIFS($I$9:$I111,$C$9:$C111,$C112))</f>
        <v/>
      </c>
      <c r="K112" s="44">
        <f>IF(OR($C112="",$I112=""),"",IF($I112&gt;$J112,"PR",""))</f>
        <v/>
      </c>
      <c r="L112" s="45">
        <f>IF($B112=$B111,"",IF(SUMIFS($H$10:$H$297,$A$10:$A$297,$A112,$B$10:$B$297,$B112)=0,"",SUMIFS($H$10:$H$297,$A$10:$A$297,$A112,$B$10:$B$297,$B112)))</f>
        <v/>
      </c>
    </row>
    <row r="113">
      <c r="A113" s="31" t="n">
        <v>5</v>
      </c>
      <c r="B113" s="31" t="n">
        <v>2</v>
      </c>
      <c r="C113" s="32" t="n"/>
      <c r="D113" s="18" t="n"/>
      <c r="E113" s="18" t="n"/>
      <c r="F113" s="18" t="n"/>
      <c r="G113" s="18" t="n"/>
      <c r="H113" s="33">
        <f>IF(OR($D113="",$E113="",$F113=""),"",ROUND($D113*$E113*$F113,0))</f>
        <v/>
      </c>
      <c r="I113" s="34">
        <f>IF(OR($E113="",$F113=""),"",ROUND($F113*(1+$E113/30),1))</f>
        <v/>
      </c>
      <c r="J113" s="35">
        <f>IF($C113="","",_xlfn.MAXIFS($I$9:$I112,$C$9:$C112,$C113))</f>
        <v/>
      </c>
      <c r="K113" s="36">
        <f>IF(OR($C113="",$I113=""),"",IF($I113&gt;$J113,"PR",""))</f>
        <v/>
      </c>
      <c r="L113" s="37">
        <f>IF($B113=$B112,"",IF(SUMIFS($H$10:$H$297,$A$10:$A$297,$A113,$B$10:$B$297,$B113)=0,"",SUMIFS($H$10:$H$297,$A$10:$A$297,$A113,$B$10:$B$297,$B113)))</f>
        <v/>
      </c>
    </row>
    <row r="114">
      <c r="A114" s="31" t="n">
        <v>5</v>
      </c>
      <c r="B114" s="31" t="n">
        <v>2</v>
      </c>
      <c r="C114" s="32" t="n"/>
      <c r="D114" s="18" t="n"/>
      <c r="E114" s="18" t="n"/>
      <c r="F114" s="18" t="n"/>
      <c r="G114" s="18" t="n"/>
      <c r="H114" s="33">
        <f>IF(OR($D114="",$E114="",$F114=""),"",ROUND($D114*$E114*$F114,0))</f>
        <v/>
      </c>
      <c r="I114" s="34">
        <f>IF(OR($E114="",$F114=""),"",ROUND($F114*(1+$E114/30),1))</f>
        <v/>
      </c>
      <c r="J114" s="35">
        <f>IF($C114="","",_xlfn.MAXIFS($I$9:$I113,$C$9:$C113,$C114))</f>
        <v/>
      </c>
      <c r="K114" s="36">
        <f>IF(OR($C114="",$I114=""),"",IF($I114&gt;$J114,"PR",""))</f>
        <v/>
      </c>
      <c r="L114" s="37">
        <f>IF($B114=$B113,"",IF(SUMIFS($H$10:$H$297,$A$10:$A$297,$A114,$B$10:$B$297,$B114)=0,"",SUMIFS($H$10:$H$297,$A$10:$A$297,$A114,$B$10:$B$297,$B114)))</f>
        <v/>
      </c>
    </row>
    <row r="115">
      <c r="A115" s="31" t="n">
        <v>5</v>
      </c>
      <c r="B115" s="31" t="n">
        <v>2</v>
      </c>
      <c r="C115" s="32" t="n"/>
      <c r="D115" s="18" t="n"/>
      <c r="E115" s="18" t="n"/>
      <c r="F115" s="18" t="n"/>
      <c r="G115" s="18" t="n"/>
      <c r="H115" s="33">
        <f>IF(OR($D115="",$E115="",$F115=""),"",ROUND($D115*$E115*$F115,0))</f>
        <v/>
      </c>
      <c r="I115" s="34">
        <f>IF(OR($E115="",$F115=""),"",ROUND($F115*(1+$E115/30),1))</f>
        <v/>
      </c>
      <c r="J115" s="35">
        <f>IF($C115="","",_xlfn.MAXIFS($I$9:$I114,$C$9:$C114,$C115))</f>
        <v/>
      </c>
      <c r="K115" s="36">
        <f>IF(OR($C115="",$I115=""),"",IF($I115&gt;$J115,"PR",""))</f>
        <v/>
      </c>
      <c r="L115" s="37">
        <f>IF($B115=$B114,"",IF(SUMIFS($H$10:$H$297,$A$10:$A$297,$A115,$B$10:$B$297,$B115)=0,"",SUMIFS($H$10:$H$297,$A$10:$A$297,$A115,$B$10:$B$297,$B115)))</f>
        <v/>
      </c>
    </row>
    <row r="116">
      <c r="A116" s="31" t="n">
        <v>5</v>
      </c>
      <c r="B116" s="31" t="n">
        <v>2</v>
      </c>
      <c r="C116" s="32" t="n"/>
      <c r="D116" s="18" t="n"/>
      <c r="E116" s="18" t="n"/>
      <c r="F116" s="18" t="n"/>
      <c r="G116" s="18" t="n"/>
      <c r="H116" s="33">
        <f>IF(OR($D116="",$E116="",$F116=""),"",ROUND($D116*$E116*$F116,0))</f>
        <v/>
      </c>
      <c r="I116" s="34">
        <f>IF(OR($E116="",$F116=""),"",ROUND($F116*(1+$E116/30),1))</f>
        <v/>
      </c>
      <c r="J116" s="35">
        <f>IF($C116="","",_xlfn.MAXIFS($I$9:$I115,$C$9:$C115,$C116))</f>
        <v/>
      </c>
      <c r="K116" s="36">
        <f>IF(OR($C116="",$I116=""),"",IF($I116&gt;$J116,"PR",""))</f>
        <v/>
      </c>
      <c r="L116" s="37">
        <f>IF($B116=$B115,"",IF(SUMIFS($H$10:$H$297,$A$10:$A$297,$A116,$B$10:$B$297,$B116)=0,"",SUMIFS($H$10:$H$297,$A$10:$A$297,$A116,$B$10:$B$297,$B116)))</f>
        <v/>
      </c>
    </row>
    <row r="117">
      <c r="A117" s="31" t="n">
        <v>5</v>
      </c>
      <c r="B117" s="31" t="n">
        <v>2</v>
      </c>
      <c r="C117" s="32" t="n"/>
      <c r="D117" s="18" t="n"/>
      <c r="E117" s="18" t="n"/>
      <c r="F117" s="18" t="n"/>
      <c r="G117" s="18" t="n"/>
      <c r="H117" s="33">
        <f>IF(OR($D117="",$E117="",$F117=""),"",ROUND($D117*$E117*$F117,0))</f>
        <v/>
      </c>
      <c r="I117" s="34">
        <f>IF(OR($E117="",$F117=""),"",ROUND($F117*(1+$E117/30),1))</f>
        <v/>
      </c>
      <c r="J117" s="35">
        <f>IF($C117="","",_xlfn.MAXIFS($I$9:$I116,$C$9:$C116,$C117))</f>
        <v/>
      </c>
      <c r="K117" s="36">
        <f>IF(OR($C117="",$I117=""),"",IF($I117&gt;$J117,"PR",""))</f>
        <v/>
      </c>
      <c r="L117" s="37">
        <f>IF($B117=$B116,"",IF(SUMIFS($H$10:$H$297,$A$10:$A$297,$A117,$B$10:$B$297,$B117)=0,"",SUMIFS($H$10:$H$297,$A$10:$A$297,$A117,$B$10:$B$297,$B117)))</f>
        <v/>
      </c>
    </row>
    <row r="118">
      <c r="A118" s="38" t="n">
        <v>5</v>
      </c>
      <c r="B118" s="38" t="n">
        <v>3</v>
      </c>
      <c r="C118" s="39" t="n"/>
      <c r="D118" s="40" t="n"/>
      <c r="E118" s="40" t="n"/>
      <c r="F118" s="40" t="n"/>
      <c r="G118" s="40" t="n"/>
      <c r="H118" s="41">
        <f>IF(OR($D118="",$E118="",$F118=""),"",ROUND($D118*$E118*$F118,0))</f>
        <v/>
      </c>
      <c r="I118" s="42">
        <f>IF(OR($E118="",$F118=""),"",ROUND($F118*(1+$E118/30),1))</f>
        <v/>
      </c>
      <c r="J118" s="43">
        <f>IF($C118="","",_xlfn.MAXIFS($I$9:$I117,$C$9:$C117,$C118))</f>
        <v/>
      </c>
      <c r="K118" s="44">
        <f>IF(OR($C118="",$I118=""),"",IF($I118&gt;$J118,"PR",""))</f>
        <v/>
      </c>
      <c r="L118" s="45">
        <f>IF($B118=$B117,"",IF(SUMIFS($H$10:$H$297,$A$10:$A$297,$A118,$B$10:$B$297,$B118)=0,"",SUMIFS($H$10:$H$297,$A$10:$A$297,$A118,$B$10:$B$297,$B118)))</f>
        <v/>
      </c>
    </row>
    <row r="119">
      <c r="A119" s="31" t="n">
        <v>5</v>
      </c>
      <c r="B119" s="31" t="n">
        <v>3</v>
      </c>
      <c r="C119" s="32" t="n"/>
      <c r="D119" s="18" t="n"/>
      <c r="E119" s="18" t="n"/>
      <c r="F119" s="18" t="n"/>
      <c r="G119" s="18" t="n"/>
      <c r="H119" s="33">
        <f>IF(OR($D119="",$E119="",$F119=""),"",ROUND($D119*$E119*$F119,0))</f>
        <v/>
      </c>
      <c r="I119" s="34">
        <f>IF(OR($E119="",$F119=""),"",ROUND($F119*(1+$E119/30),1))</f>
        <v/>
      </c>
      <c r="J119" s="35">
        <f>IF($C119="","",_xlfn.MAXIFS($I$9:$I118,$C$9:$C118,$C119))</f>
        <v/>
      </c>
      <c r="K119" s="36">
        <f>IF(OR($C119="",$I119=""),"",IF($I119&gt;$J119,"PR",""))</f>
        <v/>
      </c>
      <c r="L119" s="37">
        <f>IF($B119=$B118,"",IF(SUMIFS($H$10:$H$297,$A$10:$A$297,$A119,$B$10:$B$297,$B119)=0,"",SUMIFS($H$10:$H$297,$A$10:$A$297,$A119,$B$10:$B$297,$B119)))</f>
        <v/>
      </c>
    </row>
    <row r="120">
      <c r="A120" s="31" t="n">
        <v>5</v>
      </c>
      <c r="B120" s="31" t="n">
        <v>3</v>
      </c>
      <c r="C120" s="32" t="n"/>
      <c r="D120" s="18" t="n"/>
      <c r="E120" s="18" t="n"/>
      <c r="F120" s="18" t="n"/>
      <c r="G120" s="18" t="n"/>
      <c r="H120" s="33">
        <f>IF(OR($D120="",$E120="",$F120=""),"",ROUND($D120*$E120*$F120,0))</f>
        <v/>
      </c>
      <c r="I120" s="34">
        <f>IF(OR($E120="",$F120=""),"",ROUND($F120*(1+$E120/30),1))</f>
        <v/>
      </c>
      <c r="J120" s="35">
        <f>IF($C120="","",_xlfn.MAXIFS($I$9:$I119,$C$9:$C119,$C120))</f>
        <v/>
      </c>
      <c r="K120" s="36">
        <f>IF(OR($C120="",$I120=""),"",IF($I120&gt;$J120,"PR",""))</f>
        <v/>
      </c>
      <c r="L120" s="37">
        <f>IF($B120=$B119,"",IF(SUMIFS($H$10:$H$297,$A$10:$A$297,$A120,$B$10:$B$297,$B120)=0,"",SUMIFS($H$10:$H$297,$A$10:$A$297,$A120,$B$10:$B$297,$B120)))</f>
        <v/>
      </c>
    </row>
    <row r="121">
      <c r="A121" s="31" t="n">
        <v>5</v>
      </c>
      <c r="B121" s="31" t="n">
        <v>3</v>
      </c>
      <c r="C121" s="32" t="n"/>
      <c r="D121" s="18" t="n"/>
      <c r="E121" s="18" t="n"/>
      <c r="F121" s="18" t="n"/>
      <c r="G121" s="18" t="n"/>
      <c r="H121" s="33">
        <f>IF(OR($D121="",$E121="",$F121=""),"",ROUND($D121*$E121*$F121,0))</f>
        <v/>
      </c>
      <c r="I121" s="34">
        <f>IF(OR($E121="",$F121=""),"",ROUND($F121*(1+$E121/30),1))</f>
        <v/>
      </c>
      <c r="J121" s="35">
        <f>IF($C121="","",_xlfn.MAXIFS($I$9:$I120,$C$9:$C120,$C121))</f>
        <v/>
      </c>
      <c r="K121" s="36">
        <f>IF(OR($C121="",$I121=""),"",IF($I121&gt;$J121,"PR",""))</f>
        <v/>
      </c>
      <c r="L121" s="37">
        <f>IF($B121=$B120,"",IF(SUMIFS($H$10:$H$297,$A$10:$A$297,$A121,$B$10:$B$297,$B121)=0,"",SUMIFS($H$10:$H$297,$A$10:$A$297,$A121,$B$10:$B$297,$B121)))</f>
        <v/>
      </c>
    </row>
    <row r="122">
      <c r="A122" s="31" t="n">
        <v>5</v>
      </c>
      <c r="B122" s="31" t="n">
        <v>3</v>
      </c>
      <c r="C122" s="32" t="n"/>
      <c r="D122" s="18" t="n"/>
      <c r="E122" s="18" t="n"/>
      <c r="F122" s="18" t="n"/>
      <c r="G122" s="18" t="n"/>
      <c r="H122" s="33">
        <f>IF(OR($D122="",$E122="",$F122=""),"",ROUND($D122*$E122*$F122,0))</f>
        <v/>
      </c>
      <c r="I122" s="34">
        <f>IF(OR($E122="",$F122=""),"",ROUND($F122*(1+$E122/30),1))</f>
        <v/>
      </c>
      <c r="J122" s="35">
        <f>IF($C122="","",_xlfn.MAXIFS($I$9:$I121,$C$9:$C121,$C122))</f>
        <v/>
      </c>
      <c r="K122" s="36">
        <f>IF(OR($C122="",$I122=""),"",IF($I122&gt;$J122,"PR",""))</f>
        <v/>
      </c>
      <c r="L122" s="37">
        <f>IF($B122=$B121,"",IF(SUMIFS($H$10:$H$297,$A$10:$A$297,$A122,$B$10:$B$297,$B122)=0,"",SUMIFS($H$10:$H$297,$A$10:$A$297,$A122,$B$10:$B$297,$B122)))</f>
        <v/>
      </c>
    </row>
    <row r="123">
      <c r="A123" s="31" t="n">
        <v>5</v>
      </c>
      <c r="B123" s="31" t="n">
        <v>3</v>
      </c>
      <c r="C123" s="32" t="n"/>
      <c r="D123" s="18" t="n"/>
      <c r="E123" s="18" t="n"/>
      <c r="F123" s="18" t="n"/>
      <c r="G123" s="18" t="n"/>
      <c r="H123" s="33">
        <f>IF(OR($D123="",$E123="",$F123=""),"",ROUND($D123*$E123*$F123,0))</f>
        <v/>
      </c>
      <c r="I123" s="34">
        <f>IF(OR($E123="",$F123=""),"",ROUND($F123*(1+$E123/30),1))</f>
        <v/>
      </c>
      <c r="J123" s="35">
        <f>IF($C123="","",_xlfn.MAXIFS($I$9:$I122,$C$9:$C122,$C123))</f>
        <v/>
      </c>
      <c r="K123" s="36">
        <f>IF(OR($C123="",$I123=""),"",IF($I123&gt;$J123,"PR",""))</f>
        <v/>
      </c>
      <c r="L123" s="37">
        <f>IF($B123=$B122,"",IF(SUMIFS($H$10:$H$297,$A$10:$A$297,$A123,$B$10:$B$297,$B123)=0,"",SUMIFS($H$10:$H$297,$A$10:$A$297,$A123,$B$10:$B$297,$B123)))</f>
        <v/>
      </c>
    </row>
    <row r="124">
      <c r="A124" s="38" t="n">
        <v>5</v>
      </c>
      <c r="B124" s="38" t="n">
        <v>4</v>
      </c>
      <c r="C124" s="39" t="n"/>
      <c r="D124" s="40" t="n"/>
      <c r="E124" s="40" t="n"/>
      <c r="F124" s="40" t="n"/>
      <c r="G124" s="40" t="n"/>
      <c r="H124" s="41">
        <f>IF(OR($D124="",$E124="",$F124=""),"",ROUND($D124*$E124*$F124,0))</f>
        <v/>
      </c>
      <c r="I124" s="42">
        <f>IF(OR($E124="",$F124=""),"",ROUND($F124*(1+$E124/30),1))</f>
        <v/>
      </c>
      <c r="J124" s="43">
        <f>IF($C124="","",_xlfn.MAXIFS($I$9:$I123,$C$9:$C123,$C124))</f>
        <v/>
      </c>
      <c r="K124" s="44">
        <f>IF(OR($C124="",$I124=""),"",IF($I124&gt;$J124,"PR",""))</f>
        <v/>
      </c>
      <c r="L124" s="45">
        <f>IF($B124=$B123,"",IF(SUMIFS($H$10:$H$297,$A$10:$A$297,$A124,$B$10:$B$297,$B124)=0,"",SUMIFS($H$10:$H$297,$A$10:$A$297,$A124,$B$10:$B$297,$B124)))</f>
        <v/>
      </c>
    </row>
    <row r="125">
      <c r="A125" s="31" t="n">
        <v>5</v>
      </c>
      <c r="B125" s="31" t="n">
        <v>4</v>
      </c>
      <c r="C125" s="32" t="n"/>
      <c r="D125" s="18" t="n"/>
      <c r="E125" s="18" t="n"/>
      <c r="F125" s="18" t="n"/>
      <c r="G125" s="18" t="n"/>
      <c r="H125" s="33">
        <f>IF(OR($D125="",$E125="",$F125=""),"",ROUND($D125*$E125*$F125,0))</f>
        <v/>
      </c>
      <c r="I125" s="34">
        <f>IF(OR($E125="",$F125=""),"",ROUND($F125*(1+$E125/30),1))</f>
        <v/>
      </c>
      <c r="J125" s="35">
        <f>IF($C125="","",_xlfn.MAXIFS($I$9:$I124,$C$9:$C124,$C125))</f>
        <v/>
      </c>
      <c r="K125" s="36">
        <f>IF(OR($C125="",$I125=""),"",IF($I125&gt;$J125,"PR",""))</f>
        <v/>
      </c>
      <c r="L125" s="37">
        <f>IF($B125=$B124,"",IF(SUMIFS($H$10:$H$297,$A$10:$A$297,$A125,$B$10:$B$297,$B125)=0,"",SUMIFS($H$10:$H$297,$A$10:$A$297,$A125,$B$10:$B$297,$B125)))</f>
        <v/>
      </c>
    </row>
    <row r="126">
      <c r="A126" s="31" t="n">
        <v>5</v>
      </c>
      <c r="B126" s="31" t="n">
        <v>4</v>
      </c>
      <c r="C126" s="32" t="n"/>
      <c r="D126" s="18" t="n"/>
      <c r="E126" s="18" t="n"/>
      <c r="F126" s="18" t="n"/>
      <c r="G126" s="18" t="n"/>
      <c r="H126" s="33">
        <f>IF(OR($D126="",$E126="",$F126=""),"",ROUND($D126*$E126*$F126,0))</f>
        <v/>
      </c>
      <c r="I126" s="34">
        <f>IF(OR($E126="",$F126=""),"",ROUND($F126*(1+$E126/30),1))</f>
        <v/>
      </c>
      <c r="J126" s="35">
        <f>IF($C126="","",_xlfn.MAXIFS($I$9:$I125,$C$9:$C125,$C126))</f>
        <v/>
      </c>
      <c r="K126" s="36">
        <f>IF(OR($C126="",$I126=""),"",IF($I126&gt;$J126,"PR",""))</f>
        <v/>
      </c>
      <c r="L126" s="37">
        <f>IF($B126=$B125,"",IF(SUMIFS($H$10:$H$297,$A$10:$A$297,$A126,$B$10:$B$297,$B126)=0,"",SUMIFS($H$10:$H$297,$A$10:$A$297,$A126,$B$10:$B$297,$B126)))</f>
        <v/>
      </c>
    </row>
    <row r="127">
      <c r="A127" s="31" t="n">
        <v>5</v>
      </c>
      <c r="B127" s="31" t="n">
        <v>4</v>
      </c>
      <c r="C127" s="32" t="n"/>
      <c r="D127" s="18" t="n"/>
      <c r="E127" s="18" t="n"/>
      <c r="F127" s="18" t="n"/>
      <c r="G127" s="18" t="n"/>
      <c r="H127" s="33">
        <f>IF(OR($D127="",$E127="",$F127=""),"",ROUND($D127*$E127*$F127,0))</f>
        <v/>
      </c>
      <c r="I127" s="34">
        <f>IF(OR($E127="",$F127=""),"",ROUND($F127*(1+$E127/30),1))</f>
        <v/>
      </c>
      <c r="J127" s="35">
        <f>IF($C127="","",_xlfn.MAXIFS($I$9:$I126,$C$9:$C126,$C127))</f>
        <v/>
      </c>
      <c r="K127" s="36">
        <f>IF(OR($C127="",$I127=""),"",IF($I127&gt;$J127,"PR",""))</f>
        <v/>
      </c>
      <c r="L127" s="37">
        <f>IF($B127=$B126,"",IF(SUMIFS($H$10:$H$297,$A$10:$A$297,$A127,$B$10:$B$297,$B127)=0,"",SUMIFS($H$10:$H$297,$A$10:$A$297,$A127,$B$10:$B$297,$B127)))</f>
        <v/>
      </c>
    </row>
    <row r="128">
      <c r="A128" s="31" t="n">
        <v>5</v>
      </c>
      <c r="B128" s="31" t="n">
        <v>4</v>
      </c>
      <c r="C128" s="32" t="n"/>
      <c r="D128" s="18" t="n"/>
      <c r="E128" s="18" t="n"/>
      <c r="F128" s="18" t="n"/>
      <c r="G128" s="18" t="n"/>
      <c r="H128" s="33">
        <f>IF(OR($D128="",$E128="",$F128=""),"",ROUND($D128*$E128*$F128,0))</f>
        <v/>
      </c>
      <c r="I128" s="34">
        <f>IF(OR($E128="",$F128=""),"",ROUND($F128*(1+$E128/30),1))</f>
        <v/>
      </c>
      <c r="J128" s="35">
        <f>IF($C128="","",_xlfn.MAXIFS($I$9:$I127,$C$9:$C127,$C128))</f>
        <v/>
      </c>
      <c r="K128" s="36">
        <f>IF(OR($C128="",$I128=""),"",IF($I128&gt;$J128,"PR",""))</f>
        <v/>
      </c>
      <c r="L128" s="37">
        <f>IF($B128=$B127,"",IF(SUMIFS($H$10:$H$297,$A$10:$A$297,$A128,$B$10:$B$297,$B128)=0,"",SUMIFS($H$10:$H$297,$A$10:$A$297,$A128,$B$10:$B$297,$B128)))</f>
        <v/>
      </c>
    </row>
    <row r="129">
      <c r="A129" s="31" t="n">
        <v>5</v>
      </c>
      <c r="B129" s="31" t="n">
        <v>4</v>
      </c>
      <c r="C129" s="32" t="n"/>
      <c r="D129" s="18" t="n"/>
      <c r="E129" s="18" t="n"/>
      <c r="F129" s="18" t="n"/>
      <c r="G129" s="18" t="n"/>
      <c r="H129" s="33">
        <f>IF(OR($D129="",$E129="",$F129=""),"",ROUND($D129*$E129*$F129,0))</f>
        <v/>
      </c>
      <c r="I129" s="34">
        <f>IF(OR($E129="",$F129=""),"",ROUND($F129*(1+$E129/30),1))</f>
        <v/>
      </c>
      <c r="J129" s="35">
        <f>IF($C129="","",_xlfn.MAXIFS($I$9:$I128,$C$9:$C128,$C129))</f>
        <v/>
      </c>
      <c r="K129" s="36">
        <f>IF(OR($C129="",$I129=""),"",IF($I129&gt;$J129,"PR",""))</f>
        <v/>
      </c>
      <c r="L129" s="37">
        <f>IF($B129=$B128,"",IF(SUMIFS($H$10:$H$297,$A$10:$A$297,$A129,$B$10:$B$297,$B129)=0,"",SUMIFS($H$10:$H$297,$A$10:$A$297,$A129,$B$10:$B$297,$B129)))</f>
        <v/>
      </c>
    </row>
    <row r="130">
      <c r="A130" s="23" t="n">
        <v>6</v>
      </c>
      <c r="B130" s="23" t="n">
        <v>1</v>
      </c>
      <c r="C130" s="24" t="n"/>
      <c r="D130" s="25" t="n"/>
      <c r="E130" s="25" t="n"/>
      <c r="F130" s="25" t="n"/>
      <c r="G130" s="25" t="n"/>
      <c r="H130" s="26">
        <f>IF(OR($D130="",$E130="",$F130=""),"",ROUND($D130*$E130*$F130,0))</f>
        <v/>
      </c>
      <c r="I130" s="27">
        <f>IF(OR($E130="",$F130=""),"",ROUND($F130*(1+$E130/30),1))</f>
        <v/>
      </c>
      <c r="J130" s="28">
        <f>IF($C130="","",_xlfn.MAXIFS($I$9:$I129,$C$9:$C129,$C130))</f>
        <v/>
      </c>
      <c r="K130" s="29">
        <f>IF(OR($C130="",$I130=""),"",IF($I130&gt;$J130,"PR",""))</f>
        <v/>
      </c>
      <c r="L130" s="30">
        <f>IF($B130=$B129,"",IF(SUMIFS($H$10:$H$297,$A$10:$A$297,$A130,$B$10:$B$297,$B130)=0,"",SUMIFS($H$10:$H$297,$A$10:$A$297,$A130,$B$10:$B$297,$B130)))</f>
        <v/>
      </c>
    </row>
    <row r="131">
      <c r="A131" s="31" t="n">
        <v>6</v>
      </c>
      <c r="B131" s="31" t="n">
        <v>1</v>
      </c>
      <c r="C131" s="32" t="n"/>
      <c r="D131" s="18" t="n"/>
      <c r="E131" s="18" t="n"/>
      <c r="F131" s="18" t="n"/>
      <c r="G131" s="18" t="n"/>
      <c r="H131" s="33">
        <f>IF(OR($D131="",$E131="",$F131=""),"",ROUND($D131*$E131*$F131,0))</f>
        <v/>
      </c>
      <c r="I131" s="34">
        <f>IF(OR($E131="",$F131=""),"",ROUND($F131*(1+$E131/30),1))</f>
        <v/>
      </c>
      <c r="J131" s="35">
        <f>IF($C131="","",_xlfn.MAXIFS($I$9:$I130,$C$9:$C130,$C131))</f>
        <v/>
      </c>
      <c r="K131" s="36">
        <f>IF(OR($C131="",$I131=""),"",IF($I131&gt;$J131,"PR",""))</f>
        <v/>
      </c>
      <c r="L131" s="37">
        <f>IF($B131=$B130,"",IF(SUMIFS($H$10:$H$297,$A$10:$A$297,$A131,$B$10:$B$297,$B131)=0,"",SUMIFS($H$10:$H$297,$A$10:$A$297,$A131,$B$10:$B$297,$B131)))</f>
        <v/>
      </c>
    </row>
    <row r="132">
      <c r="A132" s="31" t="n">
        <v>6</v>
      </c>
      <c r="B132" s="31" t="n">
        <v>1</v>
      </c>
      <c r="C132" s="32" t="n"/>
      <c r="D132" s="18" t="n"/>
      <c r="E132" s="18" t="n"/>
      <c r="F132" s="18" t="n"/>
      <c r="G132" s="18" t="n"/>
      <c r="H132" s="33">
        <f>IF(OR($D132="",$E132="",$F132=""),"",ROUND($D132*$E132*$F132,0))</f>
        <v/>
      </c>
      <c r="I132" s="34">
        <f>IF(OR($E132="",$F132=""),"",ROUND($F132*(1+$E132/30),1))</f>
        <v/>
      </c>
      <c r="J132" s="35">
        <f>IF($C132="","",_xlfn.MAXIFS($I$9:$I131,$C$9:$C131,$C132))</f>
        <v/>
      </c>
      <c r="K132" s="36">
        <f>IF(OR($C132="",$I132=""),"",IF($I132&gt;$J132,"PR",""))</f>
        <v/>
      </c>
      <c r="L132" s="37">
        <f>IF($B132=$B131,"",IF(SUMIFS($H$10:$H$297,$A$10:$A$297,$A132,$B$10:$B$297,$B132)=0,"",SUMIFS($H$10:$H$297,$A$10:$A$297,$A132,$B$10:$B$297,$B132)))</f>
        <v/>
      </c>
    </row>
    <row r="133">
      <c r="A133" s="31" t="n">
        <v>6</v>
      </c>
      <c r="B133" s="31" t="n">
        <v>1</v>
      </c>
      <c r="C133" s="32" t="n"/>
      <c r="D133" s="18" t="n"/>
      <c r="E133" s="18" t="n"/>
      <c r="F133" s="18" t="n"/>
      <c r="G133" s="18" t="n"/>
      <c r="H133" s="33">
        <f>IF(OR($D133="",$E133="",$F133=""),"",ROUND($D133*$E133*$F133,0))</f>
        <v/>
      </c>
      <c r="I133" s="34">
        <f>IF(OR($E133="",$F133=""),"",ROUND($F133*(1+$E133/30),1))</f>
        <v/>
      </c>
      <c r="J133" s="35">
        <f>IF($C133="","",_xlfn.MAXIFS($I$9:$I132,$C$9:$C132,$C133))</f>
        <v/>
      </c>
      <c r="K133" s="36">
        <f>IF(OR($C133="",$I133=""),"",IF($I133&gt;$J133,"PR",""))</f>
        <v/>
      </c>
      <c r="L133" s="37">
        <f>IF($B133=$B132,"",IF(SUMIFS($H$10:$H$297,$A$10:$A$297,$A133,$B$10:$B$297,$B133)=0,"",SUMIFS($H$10:$H$297,$A$10:$A$297,$A133,$B$10:$B$297,$B133)))</f>
        <v/>
      </c>
    </row>
    <row r="134">
      <c r="A134" s="31" t="n">
        <v>6</v>
      </c>
      <c r="B134" s="31" t="n">
        <v>1</v>
      </c>
      <c r="C134" s="32" t="n"/>
      <c r="D134" s="18" t="n"/>
      <c r="E134" s="18" t="n"/>
      <c r="F134" s="18" t="n"/>
      <c r="G134" s="18" t="n"/>
      <c r="H134" s="33">
        <f>IF(OR($D134="",$E134="",$F134=""),"",ROUND($D134*$E134*$F134,0))</f>
        <v/>
      </c>
      <c r="I134" s="34">
        <f>IF(OR($E134="",$F134=""),"",ROUND($F134*(1+$E134/30),1))</f>
        <v/>
      </c>
      <c r="J134" s="35">
        <f>IF($C134="","",_xlfn.MAXIFS($I$9:$I133,$C$9:$C133,$C134))</f>
        <v/>
      </c>
      <c r="K134" s="36">
        <f>IF(OR($C134="",$I134=""),"",IF($I134&gt;$J134,"PR",""))</f>
        <v/>
      </c>
      <c r="L134" s="37">
        <f>IF($B134=$B133,"",IF(SUMIFS($H$10:$H$297,$A$10:$A$297,$A134,$B$10:$B$297,$B134)=0,"",SUMIFS($H$10:$H$297,$A$10:$A$297,$A134,$B$10:$B$297,$B134)))</f>
        <v/>
      </c>
    </row>
    <row r="135">
      <c r="A135" s="31" t="n">
        <v>6</v>
      </c>
      <c r="B135" s="31" t="n">
        <v>1</v>
      </c>
      <c r="C135" s="32" t="n"/>
      <c r="D135" s="18" t="n"/>
      <c r="E135" s="18" t="n"/>
      <c r="F135" s="18" t="n"/>
      <c r="G135" s="18" t="n"/>
      <c r="H135" s="33">
        <f>IF(OR($D135="",$E135="",$F135=""),"",ROUND($D135*$E135*$F135,0))</f>
        <v/>
      </c>
      <c r="I135" s="34">
        <f>IF(OR($E135="",$F135=""),"",ROUND($F135*(1+$E135/30),1))</f>
        <v/>
      </c>
      <c r="J135" s="35">
        <f>IF($C135="","",_xlfn.MAXIFS($I$9:$I134,$C$9:$C134,$C135))</f>
        <v/>
      </c>
      <c r="K135" s="36">
        <f>IF(OR($C135="",$I135=""),"",IF($I135&gt;$J135,"PR",""))</f>
        <v/>
      </c>
      <c r="L135" s="37">
        <f>IF($B135=$B134,"",IF(SUMIFS($H$10:$H$297,$A$10:$A$297,$A135,$B$10:$B$297,$B135)=0,"",SUMIFS($H$10:$H$297,$A$10:$A$297,$A135,$B$10:$B$297,$B135)))</f>
        <v/>
      </c>
    </row>
    <row r="136">
      <c r="A136" s="38" t="n">
        <v>6</v>
      </c>
      <c r="B136" s="38" t="n">
        <v>2</v>
      </c>
      <c r="C136" s="39" t="n"/>
      <c r="D136" s="40" t="n"/>
      <c r="E136" s="40" t="n"/>
      <c r="F136" s="40" t="n"/>
      <c r="G136" s="40" t="n"/>
      <c r="H136" s="41">
        <f>IF(OR($D136="",$E136="",$F136=""),"",ROUND($D136*$E136*$F136,0))</f>
        <v/>
      </c>
      <c r="I136" s="42">
        <f>IF(OR($E136="",$F136=""),"",ROUND($F136*(1+$E136/30),1))</f>
        <v/>
      </c>
      <c r="J136" s="43">
        <f>IF($C136="","",_xlfn.MAXIFS($I$9:$I135,$C$9:$C135,$C136))</f>
        <v/>
      </c>
      <c r="K136" s="44">
        <f>IF(OR($C136="",$I136=""),"",IF($I136&gt;$J136,"PR",""))</f>
        <v/>
      </c>
      <c r="L136" s="45">
        <f>IF($B136=$B135,"",IF(SUMIFS($H$10:$H$297,$A$10:$A$297,$A136,$B$10:$B$297,$B136)=0,"",SUMIFS($H$10:$H$297,$A$10:$A$297,$A136,$B$10:$B$297,$B136)))</f>
        <v/>
      </c>
    </row>
    <row r="137">
      <c r="A137" s="31" t="n">
        <v>6</v>
      </c>
      <c r="B137" s="31" t="n">
        <v>2</v>
      </c>
      <c r="C137" s="32" t="n"/>
      <c r="D137" s="18" t="n"/>
      <c r="E137" s="18" t="n"/>
      <c r="F137" s="18" t="n"/>
      <c r="G137" s="18" t="n"/>
      <c r="H137" s="33">
        <f>IF(OR($D137="",$E137="",$F137=""),"",ROUND($D137*$E137*$F137,0))</f>
        <v/>
      </c>
      <c r="I137" s="34">
        <f>IF(OR($E137="",$F137=""),"",ROUND($F137*(1+$E137/30),1))</f>
        <v/>
      </c>
      <c r="J137" s="35">
        <f>IF($C137="","",_xlfn.MAXIFS($I$9:$I136,$C$9:$C136,$C137))</f>
        <v/>
      </c>
      <c r="K137" s="36">
        <f>IF(OR($C137="",$I137=""),"",IF($I137&gt;$J137,"PR",""))</f>
        <v/>
      </c>
      <c r="L137" s="37">
        <f>IF($B137=$B136,"",IF(SUMIFS($H$10:$H$297,$A$10:$A$297,$A137,$B$10:$B$297,$B137)=0,"",SUMIFS($H$10:$H$297,$A$10:$A$297,$A137,$B$10:$B$297,$B137)))</f>
        <v/>
      </c>
    </row>
    <row r="138">
      <c r="A138" s="31" t="n">
        <v>6</v>
      </c>
      <c r="B138" s="31" t="n">
        <v>2</v>
      </c>
      <c r="C138" s="32" t="n"/>
      <c r="D138" s="18" t="n"/>
      <c r="E138" s="18" t="n"/>
      <c r="F138" s="18" t="n"/>
      <c r="G138" s="18" t="n"/>
      <c r="H138" s="33">
        <f>IF(OR($D138="",$E138="",$F138=""),"",ROUND($D138*$E138*$F138,0))</f>
        <v/>
      </c>
      <c r="I138" s="34">
        <f>IF(OR($E138="",$F138=""),"",ROUND($F138*(1+$E138/30),1))</f>
        <v/>
      </c>
      <c r="J138" s="35">
        <f>IF($C138="","",_xlfn.MAXIFS($I$9:$I137,$C$9:$C137,$C138))</f>
        <v/>
      </c>
      <c r="K138" s="36">
        <f>IF(OR($C138="",$I138=""),"",IF($I138&gt;$J138,"PR",""))</f>
        <v/>
      </c>
      <c r="L138" s="37">
        <f>IF($B138=$B137,"",IF(SUMIFS($H$10:$H$297,$A$10:$A$297,$A138,$B$10:$B$297,$B138)=0,"",SUMIFS($H$10:$H$297,$A$10:$A$297,$A138,$B$10:$B$297,$B138)))</f>
        <v/>
      </c>
    </row>
    <row r="139">
      <c r="A139" s="31" t="n">
        <v>6</v>
      </c>
      <c r="B139" s="31" t="n">
        <v>2</v>
      </c>
      <c r="C139" s="32" t="n"/>
      <c r="D139" s="18" t="n"/>
      <c r="E139" s="18" t="n"/>
      <c r="F139" s="18" t="n"/>
      <c r="G139" s="18" t="n"/>
      <c r="H139" s="33">
        <f>IF(OR($D139="",$E139="",$F139=""),"",ROUND($D139*$E139*$F139,0))</f>
        <v/>
      </c>
      <c r="I139" s="34">
        <f>IF(OR($E139="",$F139=""),"",ROUND($F139*(1+$E139/30),1))</f>
        <v/>
      </c>
      <c r="J139" s="35">
        <f>IF($C139="","",_xlfn.MAXIFS($I$9:$I138,$C$9:$C138,$C139))</f>
        <v/>
      </c>
      <c r="K139" s="36">
        <f>IF(OR($C139="",$I139=""),"",IF($I139&gt;$J139,"PR",""))</f>
        <v/>
      </c>
      <c r="L139" s="37">
        <f>IF($B139=$B138,"",IF(SUMIFS($H$10:$H$297,$A$10:$A$297,$A139,$B$10:$B$297,$B139)=0,"",SUMIFS($H$10:$H$297,$A$10:$A$297,$A139,$B$10:$B$297,$B139)))</f>
        <v/>
      </c>
    </row>
    <row r="140">
      <c r="A140" s="31" t="n">
        <v>6</v>
      </c>
      <c r="B140" s="31" t="n">
        <v>2</v>
      </c>
      <c r="C140" s="32" t="n"/>
      <c r="D140" s="18" t="n"/>
      <c r="E140" s="18" t="n"/>
      <c r="F140" s="18" t="n"/>
      <c r="G140" s="18" t="n"/>
      <c r="H140" s="33">
        <f>IF(OR($D140="",$E140="",$F140=""),"",ROUND($D140*$E140*$F140,0))</f>
        <v/>
      </c>
      <c r="I140" s="34">
        <f>IF(OR($E140="",$F140=""),"",ROUND($F140*(1+$E140/30),1))</f>
        <v/>
      </c>
      <c r="J140" s="35">
        <f>IF($C140="","",_xlfn.MAXIFS($I$9:$I139,$C$9:$C139,$C140))</f>
        <v/>
      </c>
      <c r="K140" s="36">
        <f>IF(OR($C140="",$I140=""),"",IF($I140&gt;$J140,"PR",""))</f>
        <v/>
      </c>
      <c r="L140" s="37">
        <f>IF($B140=$B139,"",IF(SUMIFS($H$10:$H$297,$A$10:$A$297,$A140,$B$10:$B$297,$B140)=0,"",SUMIFS($H$10:$H$297,$A$10:$A$297,$A140,$B$10:$B$297,$B140)))</f>
        <v/>
      </c>
    </row>
    <row r="141">
      <c r="A141" s="31" t="n">
        <v>6</v>
      </c>
      <c r="B141" s="31" t="n">
        <v>2</v>
      </c>
      <c r="C141" s="32" t="n"/>
      <c r="D141" s="18" t="n"/>
      <c r="E141" s="18" t="n"/>
      <c r="F141" s="18" t="n"/>
      <c r="G141" s="18" t="n"/>
      <c r="H141" s="33">
        <f>IF(OR($D141="",$E141="",$F141=""),"",ROUND($D141*$E141*$F141,0))</f>
        <v/>
      </c>
      <c r="I141" s="34">
        <f>IF(OR($E141="",$F141=""),"",ROUND($F141*(1+$E141/30),1))</f>
        <v/>
      </c>
      <c r="J141" s="35">
        <f>IF($C141="","",_xlfn.MAXIFS($I$9:$I140,$C$9:$C140,$C141))</f>
        <v/>
      </c>
      <c r="K141" s="36">
        <f>IF(OR($C141="",$I141=""),"",IF($I141&gt;$J141,"PR",""))</f>
        <v/>
      </c>
      <c r="L141" s="37">
        <f>IF($B141=$B140,"",IF(SUMIFS($H$10:$H$297,$A$10:$A$297,$A141,$B$10:$B$297,$B141)=0,"",SUMIFS($H$10:$H$297,$A$10:$A$297,$A141,$B$10:$B$297,$B141)))</f>
        <v/>
      </c>
    </row>
    <row r="142">
      <c r="A142" s="38" t="n">
        <v>6</v>
      </c>
      <c r="B142" s="38" t="n">
        <v>3</v>
      </c>
      <c r="C142" s="39" t="n"/>
      <c r="D142" s="40" t="n"/>
      <c r="E142" s="40" t="n"/>
      <c r="F142" s="40" t="n"/>
      <c r="G142" s="40" t="n"/>
      <c r="H142" s="41">
        <f>IF(OR($D142="",$E142="",$F142=""),"",ROUND($D142*$E142*$F142,0))</f>
        <v/>
      </c>
      <c r="I142" s="42">
        <f>IF(OR($E142="",$F142=""),"",ROUND($F142*(1+$E142/30),1))</f>
        <v/>
      </c>
      <c r="J142" s="43">
        <f>IF($C142="","",_xlfn.MAXIFS($I$9:$I141,$C$9:$C141,$C142))</f>
        <v/>
      </c>
      <c r="K142" s="44">
        <f>IF(OR($C142="",$I142=""),"",IF($I142&gt;$J142,"PR",""))</f>
        <v/>
      </c>
      <c r="L142" s="45">
        <f>IF($B142=$B141,"",IF(SUMIFS($H$10:$H$297,$A$10:$A$297,$A142,$B$10:$B$297,$B142)=0,"",SUMIFS($H$10:$H$297,$A$10:$A$297,$A142,$B$10:$B$297,$B142)))</f>
        <v/>
      </c>
    </row>
    <row r="143">
      <c r="A143" s="31" t="n">
        <v>6</v>
      </c>
      <c r="B143" s="31" t="n">
        <v>3</v>
      </c>
      <c r="C143" s="32" t="n"/>
      <c r="D143" s="18" t="n"/>
      <c r="E143" s="18" t="n"/>
      <c r="F143" s="18" t="n"/>
      <c r="G143" s="18" t="n"/>
      <c r="H143" s="33">
        <f>IF(OR($D143="",$E143="",$F143=""),"",ROUND($D143*$E143*$F143,0))</f>
        <v/>
      </c>
      <c r="I143" s="34">
        <f>IF(OR($E143="",$F143=""),"",ROUND($F143*(1+$E143/30),1))</f>
        <v/>
      </c>
      <c r="J143" s="35">
        <f>IF($C143="","",_xlfn.MAXIFS($I$9:$I142,$C$9:$C142,$C143))</f>
        <v/>
      </c>
      <c r="K143" s="36">
        <f>IF(OR($C143="",$I143=""),"",IF($I143&gt;$J143,"PR",""))</f>
        <v/>
      </c>
      <c r="L143" s="37">
        <f>IF($B143=$B142,"",IF(SUMIFS($H$10:$H$297,$A$10:$A$297,$A143,$B$10:$B$297,$B143)=0,"",SUMIFS($H$10:$H$297,$A$10:$A$297,$A143,$B$10:$B$297,$B143)))</f>
        <v/>
      </c>
    </row>
    <row r="144">
      <c r="A144" s="31" t="n">
        <v>6</v>
      </c>
      <c r="B144" s="31" t="n">
        <v>3</v>
      </c>
      <c r="C144" s="32" t="n"/>
      <c r="D144" s="18" t="n"/>
      <c r="E144" s="18" t="n"/>
      <c r="F144" s="18" t="n"/>
      <c r="G144" s="18" t="n"/>
      <c r="H144" s="33">
        <f>IF(OR($D144="",$E144="",$F144=""),"",ROUND($D144*$E144*$F144,0))</f>
        <v/>
      </c>
      <c r="I144" s="34">
        <f>IF(OR($E144="",$F144=""),"",ROUND($F144*(1+$E144/30),1))</f>
        <v/>
      </c>
      <c r="J144" s="35">
        <f>IF($C144="","",_xlfn.MAXIFS($I$9:$I143,$C$9:$C143,$C144))</f>
        <v/>
      </c>
      <c r="K144" s="36">
        <f>IF(OR($C144="",$I144=""),"",IF($I144&gt;$J144,"PR",""))</f>
        <v/>
      </c>
      <c r="L144" s="37">
        <f>IF($B144=$B143,"",IF(SUMIFS($H$10:$H$297,$A$10:$A$297,$A144,$B$10:$B$297,$B144)=0,"",SUMIFS($H$10:$H$297,$A$10:$A$297,$A144,$B$10:$B$297,$B144)))</f>
        <v/>
      </c>
    </row>
    <row r="145">
      <c r="A145" s="31" t="n">
        <v>6</v>
      </c>
      <c r="B145" s="31" t="n">
        <v>3</v>
      </c>
      <c r="C145" s="32" t="n"/>
      <c r="D145" s="18" t="n"/>
      <c r="E145" s="18" t="n"/>
      <c r="F145" s="18" t="n"/>
      <c r="G145" s="18" t="n"/>
      <c r="H145" s="33">
        <f>IF(OR($D145="",$E145="",$F145=""),"",ROUND($D145*$E145*$F145,0))</f>
        <v/>
      </c>
      <c r="I145" s="34">
        <f>IF(OR($E145="",$F145=""),"",ROUND($F145*(1+$E145/30),1))</f>
        <v/>
      </c>
      <c r="J145" s="35">
        <f>IF($C145="","",_xlfn.MAXIFS($I$9:$I144,$C$9:$C144,$C145))</f>
        <v/>
      </c>
      <c r="K145" s="36">
        <f>IF(OR($C145="",$I145=""),"",IF($I145&gt;$J145,"PR",""))</f>
        <v/>
      </c>
      <c r="L145" s="37">
        <f>IF($B145=$B144,"",IF(SUMIFS($H$10:$H$297,$A$10:$A$297,$A145,$B$10:$B$297,$B145)=0,"",SUMIFS($H$10:$H$297,$A$10:$A$297,$A145,$B$10:$B$297,$B145)))</f>
        <v/>
      </c>
    </row>
    <row r="146">
      <c r="A146" s="31" t="n">
        <v>6</v>
      </c>
      <c r="B146" s="31" t="n">
        <v>3</v>
      </c>
      <c r="C146" s="32" t="n"/>
      <c r="D146" s="18" t="n"/>
      <c r="E146" s="18" t="n"/>
      <c r="F146" s="18" t="n"/>
      <c r="G146" s="18" t="n"/>
      <c r="H146" s="33">
        <f>IF(OR($D146="",$E146="",$F146=""),"",ROUND($D146*$E146*$F146,0))</f>
        <v/>
      </c>
      <c r="I146" s="34">
        <f>IF(OR($E146="",$F146=""),"",ROUND($F146*(1+$E146/30),1))</f>
        <v/>
      </c>
      <c r="J146" s="35">
        <f>IF($C146="","",_xlfn.MAXIFS($I$9:$I145,$C$9:$C145,$C146))</f>
        <v/>
      </c>
      <c r="K146" s="36">
        <f>IF(OR($C146="",$I146=""),"",IF($I146&gt;$J146,"PR",""))</f>
        <v/>
      </c>
      <c r="L146" s="37">
        <f>IF($B146=$B145,"",IF(SUMIFS($H$10:$H$297,$A$10:$A$297,$A146,$B$10:$B$297,$B146)=0,"",SUMIFS($H$10:$H$297,$A$10:$A$297,$A146,$B$10:$B$297,$B146)))</f>
        <v/>
      </c>
    </row>
    <row r="147">
      <c r="A147" s="31" t="n">
        <v>6</v>
      </c>
      <c r="B147" s="31" t="n">
        <v>3</v>
      </c>
      <c r="C147" s="32" t="n"/>
      <c r="D147" s="18" t="n"/>
      <c r="E147" s="18" t="n"/>
      <c r="F147" s="18" t="n"/>
      <c r="G147" s="18" t="n"/>
      <c r="H147" s="33">
        <f>IF(OR($D147="",$E147="",$F147=""),"",ROUND($D147*$E147*$F147,0))</f>
        <v/>
      </c>
      <c r="I147" s="34">
        <f>IF(OR($E147="",$F147=""),"",ROUND($F147*(1+$E147/30),1))</f>
        <v/>
      </c>
      <c r="J147" s="35">
        <f>IF($C147="","",_xlfn.MAXIFS($I$9:$I146,$C$9:$C146,$C147))</f>
        <v/>
      </c>
      <c r="K147" s="36">
        <f>IF(OR($C147="",$I147=""),"",IF($I147&gt;$J147,"PR",""))</f>
        <v/>
      </c>
      <c r="L147" s="37">
        <f>IF($B147=$B146,"",IF(SUMIFS($H$10:$H$297,$A$10:$A$297,$A147,$B$10:$B$297,$B147)=0,"",SUMIFS($H$10:$H$297,$A$10:$A$297,$A147,$B$10:$B$297,$B147)))</f>
        <v/>
      </c>
    </row>
    <row r="148">
      <c r="A148" s="38" t="n">
        <v>6</v>
      </c>
      <c r="B148" s="38" t="n">
        <v>4</v>
      </c>
      <c r="C148" s="39" t="n"/>
      <c r="D148" s="40" t="n"/>
      <c r="E148" s="40" t="n"/>
      <c r="F148" s="40" t="n"/>
      <c r="G148" s="40" t="n"/>
      <c r="H148" s="41">
        <f>IF(OR($D148="",$E148="",$F148=""),"",ROUND($D148*$E148*$F148,0))</f>
        <v/>
      </c>
      <c r="I148" s="42">
        <f>IF(OR($E148="",$F148=""),"",ROUND($F148*(1+$E148/30),1))</f>
        <v/>
      </c>
      <c r="J148" s="43">
        <f>IF($C148="","",_xlfn.MAXIFS($I$9:$I147,$C$9:$C147,$C148))</f>
        <v/>
      </c>
      <c r="K148" s="44">
        <f>IF(OR($C148="",$I148=""),"",IF($I148&gt;$J148,"PR",""))</f>
        <v/>
      </c>
      <c r="L148" s="45">
        <f>IF($B148=$B147,"",IF(SUMIFS($H$10:$H$297,$A$10:$A$297,$A148,$B$10:$B$297,$B148)=0,"",SUMIFS($H$10:$H$297,$A$10:$A$297,$A148,$B$10:$B$297,$B148)))</f>
        <v/>
      </c>
    </row>
    <row r="149">
      <c r="A149" s="31" t="n">
        <v>6</v>
      </c>
      <c r="B149" s="31" t="n">
        <v>4</v>
      </c>
      <c r="C149" s="32" t="n"/>
      <c r="D149" s="18" t="n"/>
      <c r="E149" s="18" t="n"/>
      <c r="F149" s="18" t="n"/>
      <c r="G149" s="18" t="n"/>
      <c r="H149" s="33">
        <f>IF(OR($D149="",$E149="",$F149=""),"",ROUND($D149*$E149*$F149,0))</f>
        <v/>
      </c>
      <c r="I149" s="34">
        <f>IF(OR($E149="",$F149=""),"",ROUND($F149*(1+$E149/30),1))</f>
        <v/>
      </c>
      <c r="J149" s="35">
        <f>IF($C149="","",_xlfn.MAXIFS($I$9:$I148,$C$9:$C148,$C149))</f>
        <v/>
      </c>
      <c r="K149" s="36">
        <f>IF(OR($C149="",$I149=""),"",IF($I149&gt;$J149,"PR",""))</f>
        <v/>
      </c>
      <c r="L149" s="37">
        <f>IF($B149=$B148,"",IF(SUMIFS($H$10:$H$297,$A$10:$A$297,$A149,$B$10:$B$297,$B149)=0,"",SUMIFS($H$10:$H$297,$A$10:$A$297,$A149,$B$10:$B$297,$B149)))</f>
        <v/>
      </c>
    </row>
    <row r="150">
      <c r="A150" s="31" t="n">
        <v>6</v>
      </c>
      <c r="B150" s="31" t="n">
        <v>4</v>
      </c>
      <c r="C150" s="32" t="n"/>
      <c r="D150" s="18" t="n"/>
      <c r="E150" s="18" t="n"/>
      <c r="F150" s="18" t="n"/>
      <c r="G150" s="18" t="n"/>
      <c r="H150" s="33">
        <f>IF(OR($D150="",$E150="",$F150=""),"",ROUND($D150*$E150*$F150,0))</f>
        <v/>
      </c>
      <c r="I150" s="34">
        <f>IF(OR($E150="",$F150=""),"",ROUND($F150*(1+$E150/30),1))</f>
        <v/>
      </c>
      <c r="J150" s="35">
        <f>IF($C150="","",_xlfn.MAXIFS($I$9:$I149,$C$9:$C149,$C150))</f>
        <v/>
      </c>
      <c r="K150" s="36">
        <f>IF(OR($C150="",$I150=""),"",IF($I150&gt;$J150,"PR",""))</f>
        <v/>
      </c>
      <c r="L150" s="37">
        <f>IF($B150=$B149,"",IF(SUMIFS($H$10:$H$297,$A$10:$A$297,$A150,$B$10:$B$297,$B150)=0,"",SUMIFS($H$10:$H$297,$A$10:$A$297,$A150,$B$10:$B$297,$B150)))</f>
        <v/>
      </c>
    </row>
    <row r="151">
      <c r="A151" s="31" t="n">
        <v>6</v>
      </c>
      <c r="B151" s="31" t="n">
        <v>4</v>
      </c>
      <c r="C151" s="32" t="n"/>
      <c r="D151" s="18" t="n"/>
      <c r="E151" s="18" t="n"/>
      <c r="F151" s="18" t="n"/>
      <c r="G151" s="18" t="n"/>
      <c r="H151" s="33">
        <f>IF(OR($D151="",$E151="",$F151=""),"",ROUND($D151*$E151*$F151,0))</f>
        <v/>
      </c>
      <c r="I151" s="34">
        <f>IF(OR($E151="",$F151=""),"",ROUND($F151*(1+$E151/30),1))</f>
        <v/>
      </c>
      <c r="J151" s="35">
        <f>IF($C151="","",_xlfn.MAXIFS($I$9:$I150,$C$9:$C150,$C151))</f>
        <v/>
      </c>
      <c r="K151" s="36">
        <f>IF(OR($C151="",$I151=""),"",IF($I151&gt;$J151,"PR",""))</f>
        <v/>
      </c>
      <c r="L151" s="37">
        <f>IF($B151=$B150,"",IF(SUMIFS($H$10:$H$297,$A$10:$A$297,$A151,$B$10:$B$297,$B151)=0,"",SUMIFS($H$10:$H$297,$A$10:$A$297,$A151,$B$10:$B$297,$B151)))</f>
        <v/>
      </c>
    </row>
    <row r="152">
      <c r="A152" s="31" t="n">
        <v>6</v>
      </c>
      <c r="B152" s="31" t="n">
        <v>4</v>
      </c>
      <c r="C152" s="32" t="n"/>
      <c r="D152" s="18" t="n"/>
      <c r="E152" s="18" t="n"/>
      <c r="F152" s="18" t="n"/>
      <c r="G152" s="18" t="n"/>
      <c r="H152" s="33">
        <f>IF(OR($D152="",$E152="",$F152=""),"",ROUND($D152*$E152*$F152,0))</f>
        <v/>
      </c>
      <c r="I152" s="34">
        <f>IF(OR($E152="",$F152=""),"",ROUND($F152*(1+$E152/30),1))</f>
        <v/>
      </c>
      <c r="J152" s="35">
        <f>IF($C152="","",_xlfn.MAXIFS($I$9:$I151,$C$9:$C151,$C152))</f>
        <v/>
      </c>
      <c r="K152" s="36">
        <f>IF(OR($C152="",$I152=""),"",IF($I152&gt;$J152,"PR",""))</f>
        <v/>
      </c>
      <c r="L152" s="37">
        <f>IF($B152=$B151,"",IF(SUMIFS($H$10:$H$297,$A$10:$A$297,$A152,$B$10:$B$297,$B152)=0,"",SUMIFS($H$10:$H$297,$A$10:$A$297,$A152,$B$10:$B$297,$B152)))</f>
        <v/>
      </c>
    </row>
    <row r="153">
      <c r="A153" s="31" t="n">
        <v>6</v>
      </c>
      <c r="B153" s="31" t="n">
        <v>4</v>
      </c>
      <c r="C153" s="32" t="n"/>
      <c r="D153" s="18" t="n"/>
      <c r="E153" s="18" t="n"/>
      <c r="F153" s="18" t="n"/>
      <c r="G153" s="18" t="n"/>
      <c r="H153" s="33">
        <f>IF(OR($D153="",$E153="",$F153=""),"",ROUND($D153*$E153*$F153,0))</f>
        <v/>
      </c>
      <c r="I153" s="34">
        <f>IF(OR($E153="",$F153=""),"",ROUND($F153*(1+$E153/30),1))</f>
        <v/>
      </c>
      <c r="J153" s="35">
        <f>IF($C153="","",_xlfn.MAXIFS($I$9:$I152,$C$9:$C152,$C153))</f>
        <v/>
      </c>
      <c r="K153" s="36">
        <f>IF(OR($C153="",$I153=""),"",IF($I153&gt;$J153,"PR",""))</f>
        <v/>
      </c>
      <c r="L153" s="37">
        <f>IF($B153=$B152,"",IF(SUMIFS($H$10:$H$297,$A$10:$A$297,$A153,$B$10:$B$297,$B153)=0,"",SUMIFS($H$10:$H$297,$A$10:$A$297,$A153,$B$10:$B$297,$B153)))</f>
        <v/>
      </c>
    </row>
    <row r="154">
      <c r="A154" s="23" t="n">
        <v>7</v>
      </c>
      <c r="B154" s="23" t="n">
        <v>1</v>
      </c>
      <c r="C154" s="24" t="n"/>
      <c r="D154" s="25" t="n"/>
      <c r="E154" s="25" t="n"/>
      <c r="F154" s="25" t="n"/>
      <c r="G154" s="25" t="n"/>
      <c r="H154" s="26">
        <f>IF(OR($D154="",$E154="",$F154=""),"",ROUND($D154*$E154*$F154,0))</f>
        <v/>
      </c>
      <c r="I154" s="27">
        <f>IF(OR($E154="",$F154=""),"",ROUND($F154*(1+$E154/30),1))</f>
        <v/>
      </c>
      <c r="J154" s="28">
        <f>IF($C154="","",_xlfn.MAXIFS($I$9:$I153,$C$9:$C153,$C154))</f>
        <v/>
      </c>
      <c r="K154" s="29">
        <f>IF(OR($C154="",$I154=""),"",IF($I154&gt;$J154,"PR",""))</f>
        <v/>
      </c>
      <c r="L154" s="30">
        <f>IF($B154=$B153,"",IF(SUMIFS($H$10:$H$297,$A$10:$A$297,$A154,$B$10:$B$297,$B154)=0,"",SUMIFS($H$10:$H$297,$A$10:$A$297,$A154,$B$10:$B$297,$B154)))</f>
        <v/>
      </c>
    </row>
    <row r="155">
      <c r="A155" s="31" t="n">
        <v>7</v>
      </c>
      <c r="B155" s="31" t="n">
        <v>1</v>
      </c>
      <c r="C155" s="32" t="n"/>
      <c r="D155" s="18" t="n"/>
      <c r="E155" s="18" t="n"/>
      <c r="F155" s="18" t="n"/>
      <c r="G155" s="18" t="n"/>
      <c r="H155" s="33">
        <f>IF(OR($D155="",$E155="",$F155=""),"",ROUND($D155*$E155*$F155,0))</f>
        <v/>
      </c>
      <c r="I155" s="34">
        <f>IF(OR($E155="",$F155=""),"",ROUND($F155*(1+$E155/30),1))</f>
        <v/>
      </c>
      <c r="J155" s="35">
        <f>IF($C155="","",_xlfn.MAXIFS($I$9:$I154,$C$9:$C154,$C155))</f>
        <v/>
      </c>
      <c r="K155" s="36">
        <f>IF(OR($C155="",$I155=""),"",IF($I155&gt;$J155,"PR",""))</f>
        <v/>
      </c>
      <c r="L155" s="37">
        <f>IF($B155=$B154,"",IF(SUMIFS($H$10:$H$297,$A$10:$A$297,$A155,$B$10:$B$297,$B155)=0,"",SUMIFS($H$10:$H$297,$A$10:$A$297,$A155,$B$10:$B$297,$B155)))</f>
        <v/>
      </c>
    </row>
    <row r="156">
      <c r="A156" s="31" t="n">
        <v>7</v>
      </c>
      <c r="B156" s="31" t="n">
        <v>1</v>
      </c>
      <c r="C156" s="32" t="n"/>
      <c r="D156" s="18" t="n"/>
      <c r="E156" s="18" t="n"/>
      <c r="F156" s="18" t="n"/>
      <c r="G156" s="18" t="n"/>
      <c r="H156" s="33">
        <f>IF(OR($D156="",$E156="",$F156=""),"",ROUND($D156*$E156*$F156,0))</f>
        <v/>
      </c>
      <c r="I156" s="34">
        <f>IF(OR($E156="",$F156=""),"",ROUND($F156*(1+$E156/30),1))</f>
        <v/>
      </c>
      <c r="J156" s="35">
        <f>IF($C156="","",_xlfn.MAXIFS($I$9:$I155,$C$9:$C155,$C156))</f>
        <v/>
      </c>
      <c r="K156" s="36">
        <f>IF(OR($C156="",$I156=""),"",IF($I156&gt;$J156,"PR",""))</f>
        <v/>
      </c>
      <c r="L156" s="37">
        <f>IF($B156=$B155,"",IF(SUMIFS($H$10:$H$297,$A$10:$A$297,$A156,$B$10:$B$297,$B156)=0,"",SUMIFS($H$10:$H$297,$A$10:$A$297,$A156,$B$10:$B$297,$B156)))</f>
        <v/>
      </c>
    </row>
    <row r="157">
      <c r="A157" s="31" t="n">
        <v>7</v>
      </c>
      <c r="B157" s="31" t="n">
        <v>1</v>
      </c>
      <c r="C157" s="32" t="n"/>
      <c r="D157" s="18" t="n"/>
      <c r="E157" s="18" t="n"/>
      <c r="F157" s="18" t="n"/>
      <c r="G157" s="18" t="n"/>
      <c r="H157" s="33">
        <f>IF(OR($D157="",$E157="",$F157=""),"",ROUND($D157*$E157*$F157,0))</f>
        <v/>
      </c>
      <c r="I157" s="34">
        <f>IF(OR($E157="",$F157=""),"",ROUND($F157*(1+$E157/30),1))</f>
        <v/>
      </c>
      <c r="J157" s="35">
        <f>IF($C157="","",_xlfn.MAXIFS($I$9:$I156,$C$9:$C156,$C157))</f>
        <v/>
      </c>
      <c r="K157" s="36">
        <f>IF(OR($C157="",$I157=""),"",IF($I157&gt;$J157,"PR",""))</f>
        <v/>
      </c>
      <c r="L157" s="37">
        <f>IF($B157=$B156,"",IF(SUMIFS($H$10:$H$297,$A$10:$A$297,$A157,$B$10:$B$297,$B157)=0,"",SUMIFS($H$10:$H$297,$A$10:$A$297,$A157,$B$10:$B$297,$B157)))</f>
        <v/>
      </c>
    </row>
    <row r="158">
      <c r="A158" s="31" t="n">
        <v>7</v>
      </c>
      <c r="B158" s="31" t="n">
        <v>1</v>
      </c>
      <c r="C158" s="32" t="n"/>
      <c r="D158" s="18" t="n"/>
      <c r="E158" s="18" t="n"/>
      <c r="F158" s="18" t="n"/>
      <c r="G158" s="18" t="n"/>
      <c r="H158" s="33">
        <f>IF(OR($D158="",$E158="",$F158=""),"",ROUND($D158*$E158*$F158,0))</f>
        <v/>
      </c>
      <c r="I158" s="34">
        <f>IF(OR($E158="",$F158=""),"",ROUND($F158*(1+$E158/30),1))</f>
        <v/>
      </c>
      <c r="J158" s="35">
        <f>IF($C158="","",_xlfn.MAXIFS($I$9:$I157,$C$9:$C157,$C158))</f>
        <v/>
      </c>
      <c r="K158" s="36">
        <f>IF(OR($C158="",$I158=""),"",IF($I158&gt;$J158,"PR",""))</f>
        <v/>
      </c>
      <c r="L158" s="37">
        <f>IF($B158=$B157,"",IF(SUMIFS($H$10:$H$297,$A$10:$A$297,$A158,$B$10:$B$297,$B158)=0,"",SUMIFS($H$10:$H$297,$A$10:$A$297,$A158,$B$10:$B$297,$B158)))</f>
        <v/>
      </c>
    </row>
    <row r="159">
      <c r="A159" s="31" t="n">
        <v>7</v>
      </c>
      <c r="B159" s="31" t="n">
        <v>1</v>
      </c>
      <c r="C159" s="32" t="n"/>
      <c r="D159" s="18" t="n"/>
      <c r="E159" s="18" t="n"/>
      <c r="F159" s="18" t="n"/>
      <c r="G159" s="18" t="n"/>
      <c r="H159" s="33">
        <f>IF(OR($D159="",$E159="",$F159=""),"",ROUND($D159*$E159*$F159,0))</f>
        <v/>
      </c>
      <c r="I159" s="34">
        <f>IF(OR($E159="",$F159=""),"",ROUND($F159*(1+$E159/30),1))</f>
        <v/>
      </c>
      <c r="J159" s="35">
        <f>IF($C159="","",_xlfn.MAXIFS($I$9:$I158,$C$9:$C158,$C159))</f>
        <v/>
      </c>
      <c r="K159" s="36">
        <f>IF(OR($C159="",$I159=""),"",IF($I159&gt;$J159,"PR",""))</f>
        <v/>
      </c>
      <c r="L159" s="37">
        <f>IF($B159=$B158,"",IF(SUMIFS($H$10:$H$297,$A$10:$A$297,$A159,$B$10:$B$297,$B159)=0,"",SUMIFS($H$10:$H$297,$A$10:$A$297,$A159,$B$10:$B$297,$B159)))</f>
        <v/>
      </c>
    </row>
    <row r="160">
      <c r="A160" s="38" t="n">
        <v>7</v>
      </c>
      <c r="B160" s="38" t="n">
        <v>2</v>
      </c>
      <c r="C160" s="39" t="n"/>
      <c r="D160" s="40" t="n"/>
      <c r="E160" s="40" t="n"/>
      <c r="F160" s="40" t="n"/>
      <c r="G160" s="40" t="n"/>
      <c r="H160" s="41">
        <f>IF(OR($D160="",$E160="",$F160=""),"",ROUND($D160*$E160*$F160,0))</f>
        <v/>
      </c>
      <c r="I160" s="42">
        <f>IF(OR($E160="",$F160=""),"",ROUND($F160*(1+$E160/30),1))</f>
        <v/>
      </c>
      <c r="J160" s="43">
        <f>IF($C160="","",_xlfn.MAXIFS($I$9:$I159,$C$9:$C159,$C160))</f>
        <v/>
      </c>
      <c r="K160" s="44">
        <f>IF(OR($C160="",$I160=""),"",IF($I160&gt;$J160,"PR",""))</f>
        <v/>
      </c>
      <c r="L160" s="45">
        <f>IF($B160=$B159,"",IF(SUMIFS($H$10:$H$297,$A$10:$A$297,$A160,$B$10:$B$297,$B160)=0,"",SUMIFS($H$10:$H$297,$A$10:$A$297,$A160,$B$10:$B$297,$B160)))</f>
        <v/>
      </c>
    </row>
    <row r="161">
      <c r="A161" s="31" t="n">
        <v>7</v>
      </c>
      <c r="B161" s="31" t="n">
        <v>2</v>
      </c>
      <c r="C161" s="32" t="n"/>
      <c r="D161" s="18" t="n"/>
      <c r="E161" s="18" t="n"/>
      <c r="F161" s="18" t="n"/>
      <c r="G161" s="18" t="n"/>
      <c r="H161" s="33">
        <f>IF(OR($D161="",$E161="",$F161=""),"",ROUND($D161*$E161*$F161,0))</f>
        <v/>
      </c>
      <c r="I161" s="34">
        <f>IF(OR($E161="",$F161=""),"",ROUND($F161*(1+$E161/30),1))</f>
        <v/>
      </c>
      <c r="J161" s="35">
        <f>IF($C161="","",_xlfn.MAXIFS($I$9:$I160,$C$9:$C160,$C161))</f>
        <v/>
      </c>
      <c r="K161" s="36">
        <f>IF(OR($C161="",$I161=""),"",IF($I161&gt;$J161,"PR",""))</f>
        <v/>
      </c>
      <c r="L161" s="37">
        <f>IF($B161=$B160,"",IF(SUMIFS($H$10:$H$297,$A$10:$A$297,$A161,$B$10:$B$297,$B161)=0,"",SUMIFS($H$10:$H$297,$A$10:$A$297,$A161,$B$10:$B$297,$B161)))</f>
        <v/>
      </c>
    </row>
    <row r="162">
      <c r="A162" s="31" t="n">
        <v>7</v>
      </c>
      <c r="B162" s="31" t="n">
        <v>2</v>
      </c>
      <c r="C162" s="32" t="n"/>
      <c r="D162" s="18" t="n"/>
      <c r="E162" s="18" t="n"/>
      <c r="F162" s="18" t="n"/>
      <c r="G162" s="18" t="n"/>
      <c r="H162" s="33">
        <f>IF(OR($D162="",$E162="",$F162=""),"",ROUND($D162*$E162*$F162,0))</f>
        <v/>
      </c>
      <c r="I162" s="34">
        <f>IF(OR($E162="",$F162=""),"",ROUND($F162*(1+$E162/30),1))</f>
        <v/>
      </c>
      <c r="J162" s="35">
        <f>IF($C162="","",_xlfn.MAXIFS($I$9:$I161,$C$9:$C161,$C162))</f>
        <v/>
      </c>
      <c r="K162" s="36">
        <f>IF(OR($C162="",$I162=""),"",IF($I162&gt;$J162,"PR",""))</f>
        <v/>
      </c>
      <c r="L162" s="37">
        <f>IF($B162=$B161,"",IF(SUMIFS($H$10:$H$297,$A$10:$A$297,$A162,$B$10:$B$297,$B162)=0,"",SUMIFS($H$10:$H$297,$A$10:$A$297,$A162,$B$10:$B$297,$B162)))</f>
        <v/>
      </c>
    </row>
    <row r="163">
      <c r="A163" s="31" t="n">
        <v>7</v>
      </c>
      <c r="B163" s="31" t="n">
        <v>2</v>
      </c>
      <c r="C163" s="32" t="n"/>
      <c r="D163" s="18" t="n"/>
      <c r="E163" s="18" t="n"/>
      <c r="F163" s="18" t="n"/>
      <c r="G163" s="18" t="n"/>
      <c r="H163" s="33">
        <f>IF(OR($D163="",$E163="",$F163=""),"",ROUND($D163*$E163*$F163,0))</f>
        <v/>
      </c>
      <c r="I163" s="34">
        <f>IF(OR($E163="",$F163=""),"",ROUND($F163*(1+$E163/30),1))</f>
        <v/>
      </c>
      <c r="J163" s="35">
        <f>IF($C163="","",_xlfn.MAXIFS($I$9:$I162,$C$9:$C162,$C163))</f>
        <v/>
      </c>
      <c r="K163" s="36">
        <f>IF(OR($C163="",$I163=""),"",IF($I163&gt;$J163,"PR",""))</f>
        <v/>
      </c>
      <c r="L163" s="37">
        <f>IF($B163=$B162,"",IF(SUMIFS($H$10:$H$297,$A$10:$A$297,$A163,$B$10:$B$297,$B163)=0,"",SUMIFS($H$10:$H$297,$A$10:$A$297,$A163,$B$10:$B$297,$B163)))</f>
        <v/>
      </c>
    </row>
    <row r="164">
      <c r="A164" s="31" t="n">
        <v>7</v>
      </c>
      <c r="B164" s="31" t="n">
        <v>2</v>
      </c>
      <c r="C164" s="32" t="n"/>
      <c r="D164" s="18" t="n"/>
      <c r="E164" s="18" t="n"/>
      <c r="F164" s="18" t="n"/>
      <c r="G164" s="18" t="n"/>
      <c r="H164" s="33">
        <f>IF(OR($D164="",$E164="",$F164=""),"",ROUND($D164*$E164*$F164,0))</f>
        <v/>
      </c>
      <c r="I164" s="34">
        <f>IF(OR($E164="",$F164=""),"",ROUND($F164*(1+$E164/30),1))</f>
        <v/>
      </c>
      <c r="J164" s="35">
        <f>IF($C164="","",_xlfn.MAXIFS($I$9:$I163,$C$9:$C163,$C164))</f>
        <v/>
      </c>
      <c r="K164" s="36">
        <f>IF(OR($C164="",$I164=""),"",IF($I164&gt;$J164,"PR",""))</f>
        <v/>
      </c>
      <c r="L164" s="37">
        <f>IF($B164=$B163,"",IF(SUMIFS($H$10:$H$297,$A$10:$A$297,$A164,$B$10:$B$297,$B164)=0,"",SUMIFS($H$10:$H$297,$A$10:$A$297,$A164,$B$10:$B$297,$B164)))</f>
        <v/>
      </c>
    </row>
    <row r="165">
      <c r="A165" s="31" t="n">
        <v>7</v>
      </c>
      <c r="B165" s="31" t="n">
        <v>2</v>
      </c>
      <c r="C165" s="32" t="n"/>
      <c r="D165" s="18" t="n"/>
      <c r="E165" s="18" t="n"/>
      <c r="F165" s="18" t="n"/>
      <c r="G165" s="18" t="n"/>
      <c r="H165" s="33">
        <f>IF(OR($D165="",$E165="",$F165=""),"",ROUND($D165*$E165*$F165,0))</f>
        <v/>
      </c>
      <c r="I165" s="34">
        <f>IF(OR($E165="",$F165=""),"",ROUND($F165*(1+$E165/30),1))</f>
        <v/>
      </c>
      <c r="J165" s="35">
        <f>IF($C165="","",_xlfn.MAXIFS($I$9:$I164,$C$9:$C164,$C165))</f>
        <v/>
      </c>
      <c r="K165" s="36">
        <f>IF(OR($C165="",$I165=""),"",IF($I165&gt;$J165,"PR",""))</f>
        <v/>
      </c>
      <c r="L165" s="37">
        <f>IF($B165=$B164,"",IF(SUMIFS($H$10:$H$297,$A$10:$A$297,$A165,$B$10:$B$297,$B165)=0,"",SUMIFS($H$10:$H$297,$A$10:$A$297,$A165,$B$10:$B$297,$B165)))</f>
        <v/>
      </c>
    </row>
    <row r="166">
      <c r="A166" s="38" t="n">
        <v>7</v>
      </c>
      <c r="B166" s="38" t="n">
        <v>3</v>
      </c>
      <c r="C166" s="39" t="n"/>
      <c r="D166" s="40" t="n"/>
      <c r="E166" s="40" t="n"/>
      <c r="F166" s="40" t="n"/>
      <c r="G166" s="40" t="n"/>
      <c r="H166" s="41">
        <f>IF(OR($D166="",$E166="",$F166=""),"",ROUND($D166*$E166*$F166,0))</f>
        <v/>
      </c>
      <c r="I166" s="42">
        <f>IF(OR($E166="",$F166=""),"",ROUND($F166*(1+$E166/30),1))</f>
        <v/>
      </c>
      <c r="J166" s="43">
        <f>IF($C166="","",_xlfn.MAXIFS($I$9:$I165,$C$9:$C165,$C166))</f>
        <v/>
      </c>
      <c r="K166" s="44">
        <f>IF(OR($C166="",$I166=""),"",IF($I166&gt;$J166,"PR",""))</f>
        <v/>
      </c>
      <c r="L166" s="45">
        <f>IF($B166=$B165,"",IF(SUMIFS($H$10:$H$297,$A$10:$A$297,$A166,$B$10:$B$297,$B166)=0,"",SUMIFS($H$10:$H$297,$A$10:$A$297,$A166,$B$10:$B$297,$B166)))</f>
        <v/>
      </c>
    </row>
    <row r="167">
      <c r="A167" s="31" t="n">
        <v>7</v>
      </c>
      <c r="B167" s="31" t="n">
        <v>3</v>
      </c>
      <c r="C167" s="32" t="n"/>
      <c r="D167" s="18" t="n"/>
      <c r="E167" s="18" t="n"/>
      <c r="F167" s="18" t="n"/>
      <c r="G167" s="18" t="n"/>
      <c r="H167" s="33">
        <f>IF(OR($D167="",$E167="",$F167=""),"",ROUND($D167*$E167*$F167,0))</f>
        <v/>
      </c>
      <c r="I167" s="34">
        <f>IF(OR($E167="",$F167=""),"",ROUND($F167*(1+$E167/30),1))</f>
        <v/>
      </c>
      <c r="J167" s="35">
        <f>IF($C167="","",_xlfn.MAXIFS($I$9:$I166,$C$9:$C166,$C167))</f>
        <v/>
      </c>
      <c r="K167" s="36">
        <f>IF(OR($C167="",$I167=""),"",IF($I167&gt;$J167,"PR",""))</f>
        <v/>
      </c>
      <c r="L167" s="37">
        <f>IF($B167=$B166,"",IF(SUMIFS($H$10:$H$297,$A$10:$A$297,$A167,$B$10:$B$297,$B167)=0,"",SUMIFS($H$10:$H$297,$A$10:$A$297,$A167,$B$10:$B$297,$B167)))</f>
        <v/>
      </c>
    </row>
    <row r="168">
      <c r="A168" s="31" t="n">
        <v>7</v>
      </c>
      <c r="B168" s="31" t="n">
        <v>3</v>
      </c>
      <c r="C168" s="32" t="n"/>
      <c r="D168" s="18" t="n"/>
      <c r="E168" s="18" t="n"/>
      <c r="F168" s="18" t="n"/>
      <c r="G168" s="18" t="n"/>
      <c r="H168" s="33">
        <f>IF(OR($D168="",$E168="",$F168=""),"",ROUND($D168*$E168*$F168,0))</f>
        <v/>
      </c>
      <c r="I168" s="34">
        <f>IF(OR($E168="",$F168=""),"",ROUND($F168*(1+$E168/30),1))</f>
        <v/>
      </c>
      <c r="J168" s="35">
        <f>IF($C168="","",_xlfn.MAXIFS($I$9:$I167,$C$9:$C167,$C168))</f>
        <v/>
      </c>
      <c r="K168" s="36">
        <f>IF(OR($C168="",$I168=""),"",IF($I168&gt;$J168,"PR",""))</f>
        <v/>
      </c>
      <c r="L168" s="37">
        <f>IF($B168=$B167,"",IF(SUMIFS($H$10:$H$297,$A$10:$A$297,$A168,$B$10:$B$297,$B168)=0,"",SUMIFS($H$10:$H$297,$A$10:$A$297,$A168,$B$10:$B$297,$B168)))</f>
        <v/>
      </c>
    </row>
    <row r="169">
      <c r="A169" s="31" t="n">
        <v>7</v>
      </c>
      <c r="B169" s="31" t="n">
        <v>3</v>
      </c>
      <c r="C169" s="32" t="n"/>
      <c r="D169" s="18" t="n"/>
      <c r="E169" s="18" t="n"/>
      <c r="F169" s="18" t="n"/>
      <c r="G169" s="18" t="n"/>
      <c r="H169" s="33">
        <f>IF(OR($D169="",$E169="",$F169=""),"",ROUND($D169*$E169*$F169,0))</f>
        <v/>
      </c>
      <c r="I169" s="34">
        <f>IF(OR($E169="",$F169=""),"",ROUND($F169*(1+$E169/30),1))</f>
        <v/>
      </c>
      <c r="J169" s="35">
        <f>IF($C169="","",_xlfn.MAXIFS($I$9:$I168,$C$9:$C168,$C169))</f>
        <v/>
      </c>
      <c r="K169" s="36">
        <f>IF(OR($C169="",$I169=""),"",IF($I169&gt;$J169,"PR",""))</f>
        <v/>
      </c>
      <c r="L169" s="37">
        <f>IF($B169=$B168,"",IF(SUMIFS($H$10:$H$297,$A$10:$A$297,$A169,$B$10:$B$297,$B169)=0,"",SUMIFS($H$10:$H$297,$A$10:$A$297,$A169,$B$10:$B$297,$B169)))</f>
        <v/>
      </c>
    </row>
    <row r="170">
      <c r="A170" s="31" t="n">
        <v>7</v>
      </c>
      <c r="B170" s="31" t="n">
        <v>3</v>
      </c>
      <c r="C170" s="32" t="n"/>
      <c r="D170" s="18" t="n"/>
      <c r="E170" s="18" t="n"/>
      <c r="F170" s="18" t="n"/>
      <c r="G170" s="18" t="n"/>
      <c r="H170" s="33">
        <f>IF(OR($D170="",$E170="",$F170=""),"",ROUND($D170*$E170*$F170,0))</f>
        <v/>
      </c>
      <c r="I170" s="34">
        <f>IF(OR($E170="",$F170=""),"",ROUND($F170*(1+$E170/30),1))</f>
        <v/>
      </c>
      <c r="J170" s="35">
        <f>IF($C170="","",_xlfn.MAXIFS($I$9:$I169,$C$9:$C169,$C170))</f>
        <v/>
      </c>
      <c r="K170" s="36">
        <f>IF(OR($C170="",$I170=""),"",IF($I170&gt;$J170,"PR",""))</f>
        <v/>
      </c>
      <c r="L170" s="37">
        <f>IF($B170=$B169,"",IF(SUMIFS($H$10:$H$297,$A$10:$A$297,$A170,$B$10:$B$297,$B170)=0,"",SUMIFS($H$10:$H$297,$A$10:$A$297,$A170,$B$10:$B$297,$B170)))</f>
        <v/>
      </c>
    </row>
    <row r="171">
      <c r="A171" s="31" t="n">
        <v>7</v>
      </c>
      <c r="B171" s="31" t="n">
        <v>3</v>
      </c>
      <c r="C171" s="32" t="n"/>
      <c r="D171" s="18" t="n"/>
      <c r="E171" s="18" t="n"/>
      <c r="F171" s="18" t="n"/>
      <c r="G171" s="18" t="n"/>
      <c r="H171" s="33">
        <f>IF(OR($D171="",$E171="",$F171=""),"",ROUND($D171*$E171*$F171,0))</f>
        <v/>
      </c>
      <c r="I171" s="34">
        <f>IF(OR($E171="",$F171=""),"",ROUND($F171*(1+$E171/30),1))</f>
        <v/>
      </c>
      <c r="J171" s="35">
        <f>IF($C171="","",_xlfn.MAXIFS($I$9:$I170,$C$9:$C170,$C171))</f>
        <v/>
      </c>
      <c r="K171" s="36">
        <f>IF(OR($C171="",$I171=""),"",IF($I171&gt;$J171,"PR",""))</f>
        <v/>
      </c>
      <c r="L171" s="37">
        <f>IF($B171=$B170,"",IF(SUMIFS($H$10:$H$297,$A$10:$A$297,$A171,$B$10:$B$297,$B171)=0,"",SUMIFS($H$10:$H$297,$A$10:$A$297,$A171,$B$10:$B$297,$B171)))</f>
        <v/>
      </c>
    </row>
    <row r="172">
      <c r="A172" s="38" t="n">
        <v>7</v>
      </c>
      <c r="B172" s="38" t="n">
        <v>4</v>
      </c>
      <c r="C172" s="39" t="n"/>
      <c r="D172" s="40" t="n"/>
      <c r="E172" s="40" t="n"/>
      <c r="F172" s="40" t="n"/>
      <c r="G172" s="40" t="n"/>
      <c r="H172" s="41">
        <f>IF(OR($D172="",$E172="",$F172=""),"",ROUND($D172*$E172*$F172,0))</f>
        <v/>
      </c>
      <c r="I172" s="42">
        <f>IF(OR($E172="",$F172=""),"",ROUND($F172*(1+$E172/30),1))</f>
        <v/>
      </c>
      <c r="J172" s="43">
        <f>IF($C172="","",_xlfn.MAXIFS($I$9:$I171,$C$9:$C171,$C172))</f>
        <v/>
      </c>
      <c r="K172" s="44">
        <f>IF(OR($C172="",$I172=""),"",IF($I172&gt;$J172,"PR",""))</f>
        <v/>
      </c>
      <c r="L172" s="45">
        <f>IF($B172=$B171,"",IF(SUMIFS($H$10:$H$297,$A$10:$A$297,$A172,$B$10:$B$297,$B172)=0,"",SUMIFS($H$10:$H$297,$A$10:$A$297,$A172,$B$10:$B$297,$B172)))</f>
        <v/>
      </c>
    </row>
    <row r="173">
      <c r="A173" s="31" t="n">
        <v>7</v>
      </c>
      <c r="B173" s="31" t="n">
        <v>4</v>
      </c>
      <c r="C173" s="32" t="n"/>
      <c r="D173" s="18" t="n"/>
      <c r="E173" s="18" t="n"/>
      <c r="F173" s="18" t="n"/>
      <c r="G173" s="18" t="n"/>
      <c r="H173" s="33">
        <f>IF(OR($D173="",$E173="",$F173=""),"",ROUND($D173*$E173*$F173,0))</f>
        <v/>
      </c>
      <c r="I173" s="34">
        <f>IF(OR($E173="",$F173=""),"",ROUND($F173*(1+$E173/30),1))</f>
        <v/>
      </c>
      <c r="J173" s="35">
        <f>IF($C173="","",_xlfn.MAXIFS($I$9:$I172,$C$9:$C172,$C173))</f>
        <v/>
      </c>
      <c r="K173" s="36">
        <f>IF(OR($C173="",$I173=""),"",IF($I173&gt;$J173,"PR",""))</f>
        <v/>
      </c>
      <c r="L173" s="37">
        <f>IF($B173=$B172,"",IF(SUMIFS($H$10:$H$297,$A$10:$A$297,$A173,$B$10:$B$297,$B173)=0,"",SUMIFS($H$10:$H$297,$A$10:$A$297,$A173,$B$10:$B$297,$B173)))</f>
        <v/>
      </c>
    </row>
    <row r="174">
      <c r="A174" s="31" t="n">
        <v>7</v>
      </c>
      <c r="B174" s="31" t="n">
        <v>4</v>
      </c>
      <c r="C174" s="32" t="n"/>
      <c r="D174" s="18" t="n"/>
      <c r="E174" s="18" t="n"/>
      <c r="F174" s="18" t="n"/>
      <c r="G174" s="18" t="n"/>
      <c r="H174" s="33">
        <f>IF(OR($D174="",$E174="",$F174=""),"",ROUND($D174*$E174*$F174,0))</f>
        <v/>
      </c>
      <c r="I174" s="34">
        <f>IF(OR($E174="",$F174=""),"",ROUND($F174*(1+$E174/30),1))</f>
        <v/>
      </c>
      <c r="J174" s="35">
        <f>IF($C174="","",_xlfn.MAXIFS($I$9:$I173,$C$9:$C173,$C174))</f>
        <v/>
      </c>
      <c r="K174" s="36">
        <f>IF(OR($C174="",$I174=""),"",IF($I174&gt;$J174,"PR",""))</f>
        <v/>
      </c>
      <c r="L174" s="37">
        <f>IF($B174=$B173,"",IF(SUMIFS($H$10:$H$297,$A$10:$A$297,$A174,$B$10:$B$297,$B174)=0,"",SUMIFS($H$10:$H$297,$A$10:$A$297,$A174,$B$10:$B$297,$B174)))</f>
        <v/>
      </c>
    </row>
    <row r="175">
      <c r="A175" s="31" t="n">
        <v>7</v>
      </c>
      <c r="B175" s="31" t="n">
        <v>4</v>
      </c>
      <c r="C175" s="32" t="n"/>
      <c r="D175" s="18" t="n"/>
      <c r="E175" s="18" t="n"/>
      <c r="F175" s="18" t="n"/>
      <c r="G175" s="18" t="n"/>
      <c r="H175" s="33">
        <f>IF(OR($D175="",$E175="",$F175=""),"",ROUND($D175*$E175*$F175,0))</f>
        <v/>
      </c>
      <c r="I175" s="34">
        <f>IF(OR($E175="",$F175=""),"",ROUND($F175*(1+$E175/30),1))</f>
        <v/>
      </c>
      <c r="J175" s="35">
        <f>IF($C175="","",_xlfn.MAXIFS($I$9:$I174,$C$9:$C174,$C175))</f>
        <v/>
      </c>
      <c r="K175" s="36">
        <f>IF(OR($C175="",$I175=""),"",IF($I175&gt;$J175,"PR",""))</f>
        <v/>
      </c>
      <c r="L175" s="37">
        <f>IF($B175=$B174,"",IF(SUMIFS($H$10:$H$297,$A$10:$A$297,$A175,$B$10:$B$297,$B175)=0,"",SUMIFS($H$10:$H$297,$A$10:$A$297,$A175,$B$10:$B$297,$B175)))</f>
        <v/>
      </c>
    </row>
    <row r="176">
      <c r="A176" s="31" t="n">
        <v>7</v>
      </c>
      <c r="B176" s="31" t="n">
        <v>4</v>
      </c>
      <c r="C176" s="32" t="n"/>
      <c r="D176" s="18" t="n"/>
      <c r="E176" s="18" t="n"/>
      <c r="F176" s="18" t="n"/>
      <c r="G176" s="18" t="n"/>
      <c r="H176" s="33">
        <f>IF(OR($D176="",$E176="",$F176=""),"",ROUND($D176*$E176*$F176,0))</f>
        <v/>
      </c>
      <c r="I176" s="34">
        <f>IF(OR($E176="",$F176=""),"",ROUND($F176*(1+$E176/30),1))</f>
        <v/>
      </c>
      <c r="J176" s="35">
        <f>IF($C176="","",_xlfn.MAXIFS($I$9:$I175,$C$9:$C175,$C176))</f>
        <v/>
      </c>
      <c r="K176" s="36">
        <f>IF(OR($C176="",$I176=""),"",IF($I176&gt;$J176,"PR",""))</f>
        <v/>
      </c>
      <c r="L176" s="37">
        <f>IF($B176=$B175,"",IF(SUMIFS($H$10:$H$297,$A$10:$A$297,$A176,$B$10:$B$297,$B176)=0,"",SUMIFS($H$10:$H$297,$A$10:$A$297,$A176,$B$10:$B$297,$B176)))</f>
        <v/>
      </c>
    </row>
    <row r="177">
      <c r="A177" s="31" t="n">
        <v>7</v>
      </c>
      <c r="B177" s="31" t="n">
        <v>4</v>
      </c>
      <c r="C177" s="32" t="n"/>
      <c r="D177" s="18" t="n"/>
      <c r="E177" s="18" t="n"/>
      <c r="F177" s="18" t="n"/>
      <c r="G177" s="18" t="n"/>
      <c r="H177" s="33">
        <f>IF(OR($D177="",$E177="",$F177=""),"",ROUND($D177*$E177*$F177,0))</f>
        <v/>
      </c>
      <c r="I177" s="34">
        <f>IF(OR($E177="",$F177=""),"",ROUND($F177*(1+$E177/30),1))</f>
        <v/>
      </c>
      <c r="J177" s="35">
        <f>IF($C177="","",_xlfn.MAXIFS($I$9:$I176,$C$9:$C176,$C177))</f>
        <v/>
      </c>
      <c r="K177" s="36">
        <f>IF(OR($C177="",$I177=""),"",IF($I177&gt;$J177,"PR",""))</f>
        <v/>
      </c>
      <c r="L177" s="37">
        <f>IF($B177=$B176,"",IF(SUMIFS($H$10:$H$297,$A$10:$A$297,$A177,$B$10:$B$297,$B177)=0,"",SUMIFS($H$10:$H$297,$A$10:$A$297,$A177,$B$10:$B$297,$B177)))</f>
        <v/>
      </c>
    </row>
    <row r="178">
      <c r="A178" s="23" t="n">
        <v>8</v>
      </c>
      <c r="B178" s="23" t="n">
        <v>1</v>
      </c>
      <c r="C178" s="24" t="n"/>
      <c r="D178" s="25" t="n"/>
      <c r="E178" s="25" t="n"/>
      <c r="F178" s="25" t="n"/>
      <c r="G178" s="25" t="n"/>
      <c r="H178" s="26">
        <f>IF(OR($D178="",$E178="",$F178=""),"",ROUND($D178*$E178*$F178,0))</f>
        <v/>
      </c>
      <c r="I178" s="27">
        <f>IF(OR($E178="",$F178=""),"",ROUND($F178*(1+$E178/30),1))</f>
        <v/>
      </c>
      <c r="J178" s="28">
        <f>IF($C178="","",_xlfn.MAXIFS($I$9:$I177,$C$9:$C177,$C178))</f>
        <v/>
      </c>
      <c r="K178" s="29">
        <f>IF(OR($C178="",$I178=""),"",IF($I178&gt;$J178,"PR",""))</f>
        <v/>
      </c>
      <c r="L178" s="30">
        <f>IF($B178=$B177,"",IF(SUMIFS($H$10:$H$297,$A$10:$A$297,$A178,$B$10:$B$297,$B178)=0,"",SUMIFS($H$10:$H$297,$A$10:$A$297,$A178,$B$10:$B$297,$B178)))</f>
        <v/>
      </c>
    </row>
    <row r="179">
      <c r="A179" s="31" t="n">
        <v>8</v>
      </c>
      <c r="B179" s="31" t="n">
        <v>1</v>
      </c>
      <c r="C179" s="32" t="n"/>
      <c r="D179" s="18" t="n"/>
      <c r="E179" s="18" t="n"/>
      <c r="F179" s="18" t="n"/>
      <c r="G179" s="18" t="n"/>
      <c r="H179" s="33">
        <f>IF(OR($D179="",$E179="",$F179=""),"",ROUND($D179*$E179*$F179,0))</f>
        <v/>
      </c>
      <c r="I179" s="34">
        <f>IF(OR($E179="",$F179=""),"",ROUND($F179*(1+$E179/30),1))</f>
        <v/>
      </c>
      <c r="J179" s="35">
        <f>IF($C179="","",_xlfn.MAXIFS($I$9:$I178,$C$9:$C178,$C179))</f>
        <v/>
      </c>
      <c r="K179" s="36">
        <f>IF(OR($C179="",$I179=""),"",IF($I179&gt;$J179,"PR",""))</f>
        <v/>
      </c>
      <c r="L179" s="37">
        <f>IF($B179=$B178,"",IF(SUMIFS($H$10:$H$297,$A$10:$A$297,$A179,$B$10:$B$297,$B179)=0,"",SUMIFS($H$10:$H$297,$A$10:$A$297,$A179,$B$10:$B$297,$B179)))</f>
        <v/>
      </c>
    </row>
    <row r="180">
      <c r="A180" s="31" t="n">
        <v>8</v>
      </c>
      <c r="B180" s="31" t="n">
        <v>1</v>
      </c>
      <c r="C180" s="32" t="n"/>
      <c r="D180" s="18" t="n"/>
      <c r="E180" s="18" t="n"/>
      <c r="F180" s="18" t="n"/>
      <c r="G180" s="18" t="n"/>
      <c r="H180" s="33">
        <f>IF(OR($D180="",$E180="",$F180=""),"",ROUND($D180*$E180*$F180,0))</f>
        <v/>
      </c>
      <c r="I180" s="34">
        <f>IF(OR($E180="",$F180=""),"",ROUND($F180*(1+$E180/30),1))</f>
        <v/>
      </c>
      <c r="J180" s="35">
        <f>IF($C180="","",_xlfn.MAXIFS($I$9:$I179,$C$9:$C179,$C180))</f>
        <v/>
      </c>
      <c r="K180" s="36">
        <f>IF(OR($C180="",$I180=""),"",IF($I180&gt;$J180,"PR",""))</f>
        <v/>
      </c>
      <c r="L180" s="37">
        <f>IF($B180=$B179,"",IF(SUMIFS($H$10:$H$297,$A$10:$A$297,$A180,$B$10:$B$297,$B180)=0,"",SUMIFS($H$10:$H$297,$A$10:$A$297,$A180,$B$10:$B$297,$B180)))</f>
        <v/>
      </c>
    </row>
    <row r="181">
      <c r="A181" s="31" t="n">
        <v>8</v>
      </c>
      <c r="B181" s="31" t="n">
        <v>1</v>
      </c>
      <c r="C181" s="32" t="n"/>
      <c r="D181" s="18" t="n"/>
      <c r="E181" s="18" t="n"/>
      <c r="F181" s="18" t="n"/>
      <c r="G181" s="18" t="n"/>
      <c r="H181" s="33">
        <f>IF(OR($D181="",$E181="",$F181=""),"",ROUND($D181*$E181*$F181,0))</f>
        <v/>
      </c>
      <c r="I181" s="34">
        <f>IF(OR($E181="",$F181=""),"",ROUND($F181*(1+$E181/30),1))</f>
        <v/>
      </c>
      <c r="J181" s="35">
        <f>IF($C181="","",_xlfn.MAXIFS($I$9:$I180,$C$9:$C180,$C181))</f>
        <v/>
      </c>
      <c r="K181" s="36">
        <f>IF(OR($C181="",$I181=""),"",IF($I181&gt;$J181,"PR",""))</f>
        <v/>
      </c>
      <c r="L181" s="37">
        <f>IF($B181=$B180,"",IF(SUMIFS($H$10:$H$297,$A$10:$A$297,$A181,$B$10:$B$297,$B181)=0,"",SUMIFS($H$10:$H$297,$A$10:$A$297,$A181,$B$10:$B$297,$B181)))</f>
        <v/>
      </c>
    </row>
    <row r="182">
      <c r="A182" s="31" t="n">
        <v>8</v>
      </c>
      <c r="B182" s="31" t="n">
        <v>1</v>
      </c>
      <c r="C182" s="32" t="n"/>
      <c r="D182" s="18" t="n"/>
      <c r="E182" s="18" t="n"/>
      <c r="F182" s="18" t="n"/>
      <c r="G182" s="18" t="n"/>
      <c r="H182" s="33">
        <f>IF(OR($D182="",$E182="",$F182=""),"",ROUND($D182*$E182*$F182,0))</f>
        <v/>
      </c>
      <c r="I182" s="34">
        <f>IF(OR($E182="",$F182=""),"",ROUND($F182*(1+$E182/30),1))</f>
        <v/>
      </c>
      <c r="J182" s="35">
        <f>IF($C182="","",_xlfn.MAXIFS($I$9:$I181,$C$9:$C181,$C182))</f>
        <v/>
      </c>
      <c r="K182" s="36">
        <f>IF(OR($C182="",$I182=""),"",IF($I182&gt;$J182,"PR",""))</f>
        <v/>
      </c>
      <c r="L182" s="37">
        <f>IF($B182=$B181,"",IF(SUMIFS($H$10:$H$297,$A$10:$A$297,$A182,$B$10:$B$297,$B182)=0,"",SUMIFS($H$10:$H$297,$A$10:$A$297,$A182,$B$10:$B$297,$B182)))</f>
        <v/>
      </c>
    </row>
    <row r="183">
      <c r="A183" s="31" t="n">
        <v>8</v>
      </c>
      <c r="B183" s="31" t="n">
        <v>1</v>
      </c>
      <c r="C183" s="32" t="n"/>
      <c r="D183" s="18" t="n"/>
      <c r="E183" s="18" t="n"/>
      <c r="F183" s="18" t="n"/>
      <c r="G183" s="18" t="n"/>
      <c r="H183" s="33">
        <f>IF(OR($D183="",$E183="",$F183=""),"",ROUND($D183*$E183*$F183,0))</f>
        <v/>
      </c>
      <c r="I183" s="34">
        <f>IF(OR($E183="",$F183=""),"",ROUND($F183*(1+$E183/30),1))</f>
        <v/>
      </c>
      <c r="J183" s="35">
        <f>IF($C183="","",_xlfn.MAXIFS($I$9:$I182,$C$9:$C182,$C183))</f>
        <v/>
      </c>
      <c r="K183" s="36">
        <f>IF(OR($C183="",$I183=""),"",IF($I183&gt;$J183,"PR",""))</f>
        <v/>
      </c>
      <c r="L183" s="37">
        <f>IF($B183=$B182,"",IF(SUMIFS($H$10:$H$297,$A$10:$A$297,$A183,$B$10:$B$297,$B183)=0,"",SUMIFS($H$10:$H$297,$A$10:$A$297,$A183,$B$10:$B$297,$B183)))</f>
        <v/>
      </c>
    </row>
    <row r="184">
      <c r="A184" s="38" t="n">
        <v>8</v>
      </c>
      <c r="B184" s="38" t="n">
        <v>2</v>
      </c>
      <c r="C184" s="39" t="n"/>
      <c r="D184" s="40" t="n"/>
      <c r="E184" s="40" t="n"/>
      <c r="F184" s="40" t="n"/>
      <c r="G184" s="40" t="n"/>
      <c r="H184" s="41">
        <f>IF(OR($D184="",$E184="",$F184=""),"",ROUND($D184*$E184*$F184,0))</f>
        <v/>
      </c>
      <c r="I184" s="42">
        <f>IF(OR($E184="",$F184=""),"",ROUND($F184*(1+$E184/30),1))</f>
        <v/>
      </c>
      <c r="J184" s="43">
        <f>IF($C184="","",_xlfn.MAXIFS($I$9:$I183,$C$9:$C183,$C184))</f>
        <v/>
      </c>
      <c r="K184" s="44">
        <f>IF(OR($C184="",$I184=""),"",IF($I184&gt;$J184,"PR",""))</f>
        <v/>
      </c>
      <c r="L184" s="45">
        <f>IF($B184=$B183,"",IF(SUMIFS($H$10:$H$297,$A$10:$A$297,$A184,$B$10:$B$297,$B184)=0,"",SUMIFS($H$10:$H$297,$A$10:$A$297,$A184,$B$10:$B$297,$B184)))</f>
        <v/>
      </c>
    </row>
    <row r="185">
      <c r="A185" s="31" t="n">
        <v>8</v>
      </c>
      <c r="B185" s="31" t="n">
        <v>2</v>
      </c>
      <c r="C185" s="32" t="n"/>
      <c r="D185" s="18" t="n"/>
      <c r="E185" s="18" t="n"/>
      <c r="F185" s="18" t="n"/>
      <c r="G185" s="18" t="n"/>
      <c r="H185" s="33">
        <f>IF(OR($D185="",$E185="",$F185=""),"",ROUND($D185*$E185*$F185,0))</f>
        <v/>
      </c>
      <c r="I185" s="34">
        <f>IF(OR($E185="",$F185=""),"",ROUND($F185*(1+$E185/30),1))</f>
        <v/>
      </c>
      <c r="J185" s="35">
        <f>IF($C185="","",_xlfn.MAXIFS($I$9:$I184,$C$9:$C184,$C185))</f>
        <v/>
      </c>
      <c r="K185" s="36">
        <f>IF(OR($C185="",$I185=""),"",IF($I185&gt;$J185,"PR",""))</f>
        <v/>
      </c>
      <c r="L185" s="37">
        <f>IF($B185=$B184,"",IF(SUMIFS($H$10:$H$297,$A$10:$A$297,$A185,$B$10:$B$297,$B185)=0,"",SUMIFS($H$10:$H$297,$A$10:$A$297,$A185,$B$10:$B$297,$B185)))</f>
        <v/>
      </c>
    </row>
    <row r="186">
      <c r="A186" s="31" t="n">
        <v>8</v>
      </c>
      <c r="B186" s="31" t="n">
        <v>2</v>
      </c>
      <c r="C186" s="32" t="n"/>
      <c r="D186" s="18" t="n"/>
      <c r="E186" s="18" t="n"/>
      <c r="F186" s="18" t="n"/>
      <c r="G186" s="18" t="n"/>
      <c r="H186" s="33">
        <f>IF(OR($D186="",$E186="",$F186=""),"",ROUND($D186*$E186*$F186,0))</f>
        <v/>
      </c>
      <c r="I186" s="34">
        <f>IF(OR($E186="",$F186=""),"",ROUND($F186*(1+$E186/30),1))</f>
        <v/>
      </c>
      <c r="J186" s="35">
        <f>IF($C186="","",_xlfn.MAXIFS($I$9:$I185,$C$9:$C185,$C186))</f>
        <v/>
      </c>
      <c r="K186" s="36">
        <f>IF(OR($C186="",$I186=""),"",IF($I186&gt;$J186,"PR",""))</f>
        <v/>
      </c>
      <c r="L186" s="37">
        <f>IF($B186=$B185,"",IF(SUMIFS($H$10:$H$297,$A$10:$A$297,$A186,$B$10:$B$297,$B186)=0,"",SUMIFS($H$10:$H$297,$A$10:$A$297,$A186,$B$10:$B$297,$B186)))</f>
        <v/>
      </c>
    </row>
    <row r="187">
      <c r="A187" s="31" t="n">
        <v>8</v>
      </c>
      <c r="B187" s="31" t="n">
        <v>2</v>
      </c>
      <c r="C187" s="32" t="n"/>
      <c r="D187" s="18" t="n"/>
      <c r="E187" s="18" t="n"/>
      <c r="F187" s="18" t="n"/>
      <c r="G187" s="18" t="n"/>
      <c r="H187" s="33">
        <f>IF(OR($D187="",$E187="",$F187=""),"",ROUND($D187*$E187*$F187,0))</f>
        <v/>
      </c>
      <c r="I187" s="34">
        <f>IF(OR($E187="",$F187=""),"",ROUND($F187*(1+$E187/30),1))</f>
        <v/>
      </c>
      <c r="J187" s="35">
        <f>IF($C187="","",_xlfn.MAXIFS($I$9:$I186,$C$9:$C186,$C187))</f>
        <v/>
      </c>
      <c r="K187" s="36">
        <f>IF(OR($C187="",$I187=""),"",IF($I187&gt;$J187,"PR",""))</f>
        <v/>
      </c>
      <c r="L187" s="37">
        <f>IF($B187=$B186,"",IF(SUMIFS($H$10:$H$297,$A$10:$A$297,$A187,$B$10:$B$297,$B187)=0,"",SUMIFS($H$10:$H$297,$A$10:$A$297,$A187,$B$10:$B$297,$B187)))</f>
        <v/>
      </c>
    </row>
    <row r="188">
      <c r="A188" s="31" t="n">
        <v>8</v>
      </c>
      <c r="B188" s="31" t="n">
        <v>2</v>
      </c>
      <c r="C188" s="32" t="n"/>
      <c r="D188" s="18" t="n"/>
      <c r="E188" s="18" t="n"/>
      <c r="F188" s="18" t="n"/>
      <c r="G188" s="18" t="n"/>
      <c r="H188" s="33">
        <f>IF(OR($D188="",$E188="",$F188=""),"",ROUND($D188*$E188*$F188,0))</f>
        <v/>
      </c>
      <c r="I188" s="34">
        <f>IF(OR($E188="",$F188=""),"",ROUND($F188*(1+$E188/30),1))</f>
        <v/>
      </c>
      <c r="J188" s="35">
        <f>IF($C188="","",_xlfn.MAXIFS($I$9:$I187,$C$9:$C187,$C188))</f>
        <v/>
      </c>
      <c r="K188" s="36">
        <f>IF(OR($C188="",$I188=""),"",IF($I188&gt;$J188,"PR",""))</f>
        <v/>
      </c>
      <c r="L188" s="37">
        <f>IF($B188=$B187,"",IF(SUMIFS($H$10:$H$297,$A$10:$A$297,$A188,$B$10:$B$297,$B188)=0,"",SUMIFS($H$10:$H$297,$A$10:$A$297,$A188,$B$10:$B$297,$B188)))</f>
        <v/>
      </c>
    </row>
    <row r="189">
      <c r="A189" s="31" t="n">
        <v>8</v>
      </c>
      <c r="B189" s="31" t="n">
        <v>2</v>
      </c>
      <c r="C189" s="32" t="n"/>
      <c r="D189" s="18" t="n"/>
      <c r="E189" s="18" t="n"/>
      <c r="F189" s="18" t="n"/>
      <c r="G189" s="18" t="n"/>
      <c r="H189" s="33">
        <f>IF(OR($D189="",$E189="",$F189=""),"",ROUND($D189*$E189*$F189,0))</f>
        <v/>
      </c>
      <c r="I189" s="34">
        <f>IF(OR($E189="",$F189=""),"",ROUND($F189*(1+$E189/30),1))</f>
        <v/>
      </c>
      <c r="J189" s="35">
        <f>IF($C189="","",_xlfn.MAXIFS($I$9:$I188,$C$9:$C188,$C189))</f>
        <v/>
      </c>
      <c r="K189" s="36">
        <f>IF(OR($C189="",$I189=""),"",IF($I189&gt;$J189,"PR",""))</f>
        <v/>
      </c>
      <c r="L189" s="37">
        <f>IF($B189=$B188,"",IF(SUMIFS($H$10:$H$297,$A$10:$A$297,$A189,$B$10:$B$297,$B189)=0,"",SUMIFS($H$10:$H$297,$A$10:$A$297,$A189,$B$10:$B$297,$B189)))</f>
        <v/>
      </c>
    </row>
    <row r="190">
      <c r="A190" s="38" t="n">
        <v>8</v>
      </c>
      <c r="B190" s="38" t="n">
        <v>3</v>
      </c>
      <c r="C190" s="39" t="n"/>
      <c r="D190" s="40" t="n"/>
      <c r="E190" s="40" t="n"/>
      <c r="F190" s="40" t="n"/>
      <c r="G190" s="40" t="n"/>
      <c r="H190" s="41">
        <f>IF(OR($D190="",$E190="",$F190=""),"",ROUND($D190*$E190*$F190,0))</f>
        <v/>
      </c>
      <c r="I190" s="42">
        <f>IF(OR($E190="",$F190=""),"",ROUND($F190*(1+$E190/30),1))</f>
        <v/>
      </c>
      <c r="J190" s="43">
        <f>IF($C190="","",_xlfn.MAXIFS($I$9:$I189,$C$9:$C189,$C190))</f>
        <v/>
      </c>
      <c r="K190" s="44">
        <f>IF(OR($C190="",$I190=""),"",IF($I190&gt;$J190,"PR",""))</f>
        <v/>
      </c>
      <c r="L190" s="45">
        <f>IF($B190=$B189,"",IF(SUMIFS($H$10:$H$297,$A$10:$A$297,$A190,$B$10:$B$297,$B190)=0,"",SUMIFS($H$10:$H$297,$A$10:$A$297,$A190,$B$10:$B$297,$B190)))</f>
        <v/>
      </c>
    </row>
    <row r="191">
      <c r="A191" s="31" t="n">
        <v>8</v>
      </c>
      <c r="B191" s="31" t="n">
        <v>3</v>
      </c>
      <c r="C191" s="32" t="n"/>
      <c r="D191" s="18" t="n"/>
      <c r="E191" s="18" t="n"/>
      <c r="F191" s="18" t="n"/>
      <c r="G191" s="18" t="n"/>
      <c r="H191" s="33">
        <f>IF(OR($D191="",$E191="",$F191=""),"",ROUND($D191*$E191*$F191,0))</f>
        <v/>
      </c>
      <c r="I191" s="34">
        <f>IF(OR($E191="",$F191=""),"",ROUND($F191*(1+$E191/30),1))</f>
        <v/>
      </c>
      <c r="J191" s="35">
        <f>IF($C191="","",_xlfn.MAXIFS($I$9:$I190,$C$9:$C190,$C191))</f>
        <v/>
      </c>
      <c r="K191" s="36">
        <f>IF(OR($C191="",$I191=""),"",IF($I191&gt;$J191,"PR",""))</f>
        <v/>
      </c>
      <c r="L191" s="37">
        <f>IF($B191=$B190,"",IF(SUMIFS($H$10:$H$297,$A$10:$A$297,$A191,$B$10:$B$297,$B191)=0,"",SUMIFS($H$10:$H$297,$A$10:$A$297,$A191,$B$10:$B$297,$B191)))</f>
        <v/>
      </c>
    </row>
    <row r="192">
      <c r="A192" s="31" t="n">
        <v>8</v>
      </c>
      <c r="B192" s="31" t="n">
        <v>3</v>
      </c>
      <c r="C192" s="32" t="n"/>
      <c r="D192" s="18" t="n"/>
      <c r="E192" s="18" t="n"/>
      <c r="F192" s="18" t="n"/>
      <c r="G192" s="18" t="n"/>
      <c r="H192" s="33">
        <f>IF(OR($D192="",$E192="",$F192=""),"",ROUND($D192*$E192*$F192,0))</f>
        <v/>
      </c>
      <c r="I192" s="34">
        <f>IF(OR($E192="",$F192=""),"",ROUND($F192*(1+$E192/30),1))</f>
        <v/>
      </c>
      <c r="J192" s="35">
        <f>IF($C192="","",_xlfn.MAXIFS($I$9:$I191,$C$9:$C191,$C192))</f>
        <v/>
      </c>
      <c r="K192" s="36">
        <f>IF(OR($C192="",$I192=""),"",IF($I192&gt;$J192,"PR",""))</f>
        <v/>
      </c>
      <c r="L192" s="37">
        <f>IF($B192=$B191,"",IF(SUMIFS($H$10:$H$297,$A$10:$A$297,$A192,$B$10:$B$297,$B192)=0,"",SUMIFS($H$10:$H$297,$A$10:$A$297,$A192,$B$10:$B$297,$B192)))</f>
        <v/>
      </c>
    </row>
    <row r="193">
      <c r="A193" s="31" t="n">
        <v>8</v>
      </c>
      <c r="B193" s="31" t="n">
        <v>3</v>
      </c>
      <c r="C193" s="32" t="n"/>
      <c r="D193" s="18" t="n"/>
      <c r="E193" s="18" t="n"/>
      <c r="F193" s="18" t="n"/>
      <c r="G193" s="18" t="n"/>
      <c r="H193" s="33">
        <f>IF(OR($D193="",$E193="",$F193=""),"",ROUND($D193*$E193*$F193,0))</f>
        <v/>
      </c>
      <c r="I193" s="34">
        <f>IF(OR($E193="",$F193=""),"",ROUND($F193*(1+$E193/30),1))</f>
        <v/>
      </c>
      <c r="J193" s="35">
        <f>IF($C193="","",_xlfn.MAXIFS($I$9:$I192,$C$9:$C192,$C193))</f>
        <v/>
      </c>
      <c r="K193" s="36">
        <f>IF(OR($C193="",$I193=""),"",IF($I193&gt;$J193,"PR",""))</f>
        <v/>
      </c>
      <c r="L193" s="37">
        <f>IF($B193=$B192,"",IF(SUMIFS($H$10:$H$297,$A$10:$A$297,$A193,$B$10:$B$297,$B193)=0,"",SUMIFS($H$10:$H$297,$A$10:$A$297,$A193,$B$10:$B$297,$B193)))</f>
        <v/>
      </c>
    </row>
    <row r="194">
      <c r="A194" s="31" t="n">
        <v>8</v>
      </c>
      <c r="B194" s="31" t="n">
        <v>3</v>
      </c>
      <c r="C194" s="32" t="n"/>
      <c r="D194" s="18" t="n"/>
      <c r="E194" s="18" t="n"/>
      <c r="F194" s="18" t="n"/>
      <c r="G194" s="18" t="n"/>
      <c r="H194" s="33">
        <f>IF(OR($D194="",$E194="",$F194=""),"",ROUND($D194*$E194*$F194,0))</f>
        <v/>
      </c>
      <c r="I194" s="34">
        <f>IF(OR($E194="",$F194=""),"",ROUND($F194*(1+$E194/30),1))</f>
        <v/>
      </c>
      <c r="J194" s="35">
        <f>IF($C194="","",_xlfn.MAXIFS($I$9:$I193,$C$9:$C193,$C194))</f>
        <v/>
      </c>
      <c r="K194" s="36">
        <f>IF(OR($C194="",$I194=""),"",IF($I194&gt;$J194,"PR",""))</f>
        <v/>
      </c>
      <c r="L194" s="37">
        <f>IF($B194=$B193,"",IF(SUMIFS($H$10:$H$297,$A$10:$A$297,$A194,$B$10:$B$297,$B194)=0,"",SUMIFS($H$10:$H$297,$A$10:$A$297,$A194,$B$10:$B$297,$B194)))</f>
        <v/>
      </c>
    </row>
    <row r="195">
      <c r="A195" s="31" t="n">
        <v>8</v>
      </c>
      <c r="B195" s="31" t="n">
        <v>3</v>
      </c>
      <c r="C195" s="32" t="n"/>
      <c r="D195" s="18" t="n"/>
      <c r="E195" s="18" t="n"/>
      <c r="F195" s="18" t="n"/>
      <c r="G195" s="18" t="n"/>
      <c r="H195" s="33">
        <f>IF(OR($D195="",$E195="",$F195=""),"",ROUND($D195*$E195*$F195,0))</f>
        <v/>
      </c>
      <c r="I195" s="34">
        <f>IF(OR($E195="",$F195=""),"",ROUND($F195*(1+$E195/30),1))</f>
        <v/>
      </c>
      <c r="J195" s="35">
        <f>IF($C195="","",_xlfn.MAXIFS($I$9:$I194,$C$9:$C194,$C195))</f>
        <v/>
      </c>
      <c r="K195" s="36">
        <f>IF(OR($C195="",$I195=""),"",IF($I195&gt;$J195,"PR",""))</f>
        <v/>
      </c>
      <c r="L195" s="37">
        <f>IF($B195=$B194,"",IF(SUMIFS($H$10:$H$297,$A$10:$A$297,$A195,$B$10:$B$297,$B195)=0,"",SUMIFS($H$10:$H$297,$A$10:$A$297,$A195,$B$10:$B$297,$B195)))</f>
        <v/>
      </c>
    </row>
    <row r="196">
      <c r="A196" s="38" t="n">
        <v>8</v>
      </c>
      <c r="B196" s="38" t="n">
        <v>4</v>
      </c>
      <c r="C196" s="39" t="n"/>
      <c r="D196" s="40" t="n"/>
      <c r="E196" s="40" t="n"/>
      <c r="F196" s="40" t="n"/>
      <c r="G196" s="40" t="n"/>
      <c r="H196" s="41">
        <f>IF(OR($D196="",$E196="",$F196=""),"",ROUND($D196*$E196*$F196,0))</f>
        <v/>
      </c>
      <c r="I196" s="42">
        <f>IF(OR($E196="",$F196=""),"",ROUND($F196*(1+$E196/30),1))</f>
        <v/>
      </c>
      <c r="J196" s="43">
        <f>IF($C196="","",_xlfn.MAXIFS($I$9:$I195,$C$9:$C195,$C196))</f>
        <v/>
      </c>
      <c r="K196" s="44">
        <f>IF(OR($C196="",$I196=""),"",IF($I196&gt;$J196,"PR",""))</f>
        <v/>
      </c>
      <c r="L196" s="45">
        <f>IF($B196=$B195,"",IF(SUMIFS($H$10:$H$297,$A$10:$A$297,$A196,$B$10:$B$297,$B196)=0,"",SUMIFS($H$10:$H$297,$A$10:$A$297,$A196,$B$10:$B$297,$B196)))</f>
        <v/>
      </c>
    </row>
    <row r="197">
      <c r="A197" s="31" t="n">
        <v>8</v>
      </c>
      <c r="B197" s="31" t="n">
        <v>4</v>
      </c>
      <c r="C197" s="32" t="n"/>
      <c r="D197" s="18" t="n"/>
      <c r="E197" s="18" t="n"/>
      <c r="F197" s="18" t="n"/>
      <c r="G197" s="18" t="n"/>
      <c r="H197" s="33">
        <f>IF(OR($D197="",$E197="",$F197=""),"",ROUND($D197*$E197*$F197,0))</f>
        <v/>
      </c>
      <c r="I197" s="34">
        <f>IF(OR($E197="",$F197=""),"",ROUND($F197*(1+$E197/30),1))</f>
        <v/>
      </c>
      <c r="J197" s="35">
        <f>IF($C197="","",_xlfn.MAXIFS($I$9:$I196,$C$9:$C196,$C197))</f>
        <v/>
      </c>
      <c r="K197" s="36">
        <f>IF(OR($C197="",$I197=""),"",IF($I197&gt;$J197,"PR",""))</f>
        <v/>
      </c>
      <c r="L197" s="37">
        <f>IF($B197=$B196,"",IF(SUMIFS($H$10:$H$297,$A$10:$A$297,$A197,$B$10:$B$297,$B197)=0,"",SUMIFS($H$10:$H$297,$A$10:$A$297,$A197,$B$10:$B$297,$B197)))</f>
        <v/>
      </c>
    </row>
    <row r="198">
      <c r="A198" s="31" t="n">
        <v>8</v>
      </c>
      <c r="B198" s="31" t="n">
        <v>4</v>
      </c>
      <c r="C198" s="32" t="n"/>
      <c r="D198" s="18" t="n"/>
      <c r="E198" s="18" t="n"/>
      <c r="F198" s="18" t="n"/>
      <c r="G198" s="18" t="n"/>
      <c r="H198" s="33">
        <f>IF(OR($D198="",$E198="",$F198=""),"",ROUND($D198*$E198*$F198,0))</f>
        <v/>
      </c>
      <c r="I198" s="34">
        <f>IF(OR($E198="",$F198=""),"",ROUND($F198*(1+$E198/30),1))</f>
        <v/>
      </c>
      <c r="J198" s="35">
        <f>IF($C198="","",_xlfn.MAXIFS($I$9:$I197,$C$9:$C197,$C198))</f>
        <v/>
      </c>
      <c r="K198" s="36">
        <f>IF(OR($C198="",$I198=""),"",IF($I198&gt;$J198,"PR",""))</f>
        <v/>
      </c>
      <c r="L198" s="37">
        <f>IF($B198=$B197,"",IF(SUMIFS($H$10:$H$297,$A$10:$A$297,$A198,$B$10:$B$297,$B198)=0,"",SUMIFS($H$10:$H$297,$A$10:$A$297,$A198,$B$10:$B$297,$B198)))</f>
        <v/>
      </c>
    </row>
    <row r="199">
      <c r="A199" s="31" t="n">
        <v>8</v>
      </c>
      <c r="B199" s="31" t="n">
        <v>4</v>
      </c>
      <c r="C199" s="32" t="n"/>
      <c r="D199" s="18" t="n"/>
      <c r="E199" s="18" t="n"/>
      <c r="F199" s="18" t="n"/>
      <c r="G199" s="18" t="n"/>
      <c r="H199" s="33">
        <f>IF(OR($D199="",$E199="",$F199=""),"",ROUND($D199*$E199*$F199,0))</f>
        <v/>
      </c>
      <c r="I199" s="34">
        <f>IF(OR($E199="",$F199=""),"",ROUND($F199*(1+$E199/30),1))</f>
        <v/>
      </c>
      <c r="J199" s="35">
        <f>IF($C199="","",_xlfn.MAXIFS($I$9:$I198,$C$9:$C198,$C199))</f>
        <v/>
      </c>
      <c r="K199" s="36">
        <f>IF(OR($C199="",$I199=""),"",IF($I199&gt;$J199,"PR",""))</f>
        <v/>
      </c>
      <c r="L199" s="37">
        <f>IF($B199=$B198,"",IF(SUMIFS($H$10:$H$297,$A$10:$A$297,$A199,$B$10:$B$297,$B199)=0,"",SUMIFS($H$10:$H$297,$A$10:$A$297,$A199,$B$10:$B$297,$B199)))</f>
        <v/>
      </c>
    </row>
    <row r="200">
      <c r="A200" s="31" t="n">
        <v>8</v>
      </c>
      <c r="B200" s="31" t="n">
        <v>4</v>
      </c>
      <c r="C200" s="32" t="n"/>
      <c r="D200" s="18" t="n"/>
      <c r="E200" s="18" t="n"/>
      <c r="F200" s="18" t="n"/>
      <c r="G200" s="18" t="n"/>
      <c r="H200" s="33">
        <f>IF(OR($D200="",$E200="",$F200=""),"",ROUND($D200*$E200*$F200,0))</f>
        <v/>
      </c>
      <c r="I200" s="34">
        <f>IF(OR($E200="",$F200=""),"",ROUND($F200*(1+$E200/30),1))</f>
        <v/>
      </c>
      <c r="J200" s="35">
        <f>IF($C200="","",_xlfn.MAXIFS($I$9:$I199,$C$9:$C199,$C200))</f>
        <v/>
      </c>
      <c r="K200" s="36">
        <f>IF(OR($C200="",$I200=""),"",IF($I200&gt;$J200,"PR",""))</f>
        <v/>
      </c>
      <c r="L200" s="37">
        <f>IF($B200=$B199,"",IF(SUMIFS($H$10:$H$297,$A$10:$A$297,$A200,$B$10:$B$297,$B200)=0,"",SUMIFS($H$10:$H$297,$A$10:$A$297,$A200,$B$10:$B$297,$B200)))</f>
        <v/>
      </c>
    </row>
    <row r="201">
      <c r="A201" s="31" t="n">
        <v>8</v>
      </c>
      <c r="B201" s="31" t="n">
        <v>4</v>
      </c>
      <c r="C201" s="32" t="n"/>
      <c r="D201" s="18" t="n"/>
      <c r="E201" s="18" t="n"/>
      <c r="F201" s="18" t="n"/>
      <c r="G201" s="18" t="n"/>
      <c r="H201" s="33">
        <f>IF(OR($D201="",$E201="",$F201=""),"",ROUND($D201*$E201*$F201,0))</f>
        <v/>
      </c>
      <c r="I201" s="34">
        <f>IF(OR($E201="",$F201=""),"",ROUND($F201*(1+$E201/30),1))</f>
        <v/>
      </c>
      <c r="J201" s="35">
        <f>IF($C201="","",_xlfn.MAXIFS($I$9:$I200,$C$9:$C200,$C201))</f>
        <v/>
      </c>
      <c r="K201" s="36">
        <f>IF(OR($C201="",$I201=""),"",IF($I201&gt;$J201,"PR",""))</f>
        <v/>
      </c>
      <c r="L201" s="37">
        <f>IF($B201=$B200,"",IF(SUMIFS($H$10:$H$297,$A$10:$A$297,$A201,$B$10:$B$297,$B201)=0,"",SUMIFS($H$10:$H$297,$A$10:$A$297,$A201,$B$10:$B$297,$B201)))</f>
        <v/>
      </c>
    </row>
    <row r="202">
      <c r="A202" s="23" t="n">
        <v>9</v>
      </c>
      <c r="B202" s="23" t="n">
        <v>1</v>
      </c>
      <c r="C202" s="24" t="n"/>
      <c r="D202" s="25" t="n"/>
      <c r="E202" s="25" t="n"/>
      <c r="F202" s="25" t="n"/>
      <c r="G202" s="25" t="n"/>
      <c r="H202" s="26">
        <f>IF(OR($D202="",$E202="",$F202=""),"",ROUND($D202*$E202*$F202,0))</f>
        <v/>
      </c>
      <c r="I202" s="27">
        <f>IF(OR($E202="",$F202=""),"",ROUND($F202*(1+$E202/30),1))</f>
        <v/>
      </c>
      <c r="J202" s="28">
        <f>IF($C202="","",_xlfn.MAXIFS($I$9:$I201,$C$9:$C201,$C202))</f>
        <v/>
      </c>
      <c r="K202" s="29">
        <f>IF(OR($C202="",$I202=""),"",IF($I202&gt;$J202,"PR",""))</f>
        <v/>
      </c>
      <c r="L202" s="30">
        <f>IF($B202=$B201,"",IF(SUMIFS($H$10:$H$297,$A$10:$A$297,$A202,$B$10:$B$297,$B202)=0,"",SUMIFS($H$10:$H$297,$A$10:$A$297,$A202,$B$10:$B$297,$B202)))</f>
        <v/>
      </c>
    </row>
    <row r="203">
      <c r="A203" s="31" t="n">
        <v>9</v>
      </c>
      <c r="B203" s="31" t="n">
        <v>1</v>
      </c>
      <c r="C203" s="32" t="n"/>
      <c r="D203" s="18" t="n"/>
      <c r="E203" s="18" t="n"/>
      <c r="F203" s="18" t="n"/>
      <c r="G203" s="18" t="n"/>
      <c r="H203" s="33">
        <f>IF(OR($D203="",$E203="",$F203=""),"",ROUND($D203*$E203*$F203,0))</f>
        <v/>
      </c>
      <c r="I203" s="34">
        <f>IF(OR($E203="",$F203=""),"",ROUND($F203*(1+$E203/30),1))</f>
        <v/>
      </c>
      <c r="J203" s="35">
        <f>IF($C203="","",_xlfn.MAXIFS($I$9:$I202,$C$9:$C202,$C203))</f>
        <v/>
      </c>
      <c r="K203" s="36">
        <f>IF(OR($C203="",$I203=""),"",IF($I203&gt;$J203,"PR",""))</f>
        <v/>
      </c>
      <c r="L203" s="37">
        <f>IF($B203=$B202,"",IF(SUMIFS($H$10:$H$297,$A$10:$A$297,$A203,$B$10:$B$297,$B203)=0,"",SUMIFS($H$10:$H$297,$A$10:$A$297,$A203,$B$10:$B$297,$B203)))</f>
        <v/>
      </c>
    </row>
    <row r="204">
      <c r="A204" s="31" t="n">
        <v>9</v>
      </c>
      <c r="B204" s="31" t="n">
        <v>1</v>
      </c>
      <c r="C204" s="32" t="n"/>
      <c r="D204" s="18" t="n"/>
      <c r="E204" s="18" t="n"/>
      <c r="F204" s="18" t="n"/>
      <c r="G204" s="18" t="n"/>
      <c r="H204" s="33">
        <f>IF(OR($D204="",$E204="",$F204=""),"",ROUND($D204*$E204*$F204,0))</f>
        <v/>
      </c>
      <c r="I204" s="34">
        <f>IF(OR($E204="",$F204=""),"",ROUND($F204*(1+$E204/30),1))</f>
        <v/>
      </c>
      <c r="J204" s="35">
        <f>IF($C204="","",_xlfn.MAXIFS($I$9:$I203,$C$9:$C203,$C204))</f>
        <v/>
      </c>
      <c r="K204" s="36">
        <f>IF(OR($C204="",$I204=""),"",IF($I204&gt;$J204,"PR",""))</f>
        <v/>
      </c>
      <c r="L204" s="37">
        <f>IF($B204=$B203,"",IF(SUMIFS($H$10:$H$297,$A$10:$A$297,$A204,$B$10:$B$297,$B204)=0,"",SUMIFS($H$10:$H$297,$A$10:$A$297,$A204,$B$10:$B$297,$B204)))</f>
        <v/>
      </c>
    </row>
    <row r="205">
      <c r="A205" s="31" t="n">
        <v>9</v>
      </c>
      <c r="B205" s="31" t="n">
        <v>1</v>
      </c>
      <c r="C205" s="32" t="n"/>
      <c r="D205" s="18" t="n"/>
      <c r="E205" s="18" t="n"/>
      <c r="F205" s="18" t="n"/>
      <c r="G205" s="18" t="n"/>
      <c r="H205" s="33">
        <f>IF(OR($D205="",$E205="",$F205=""),"",ROUND($D205*$E205*$F205,0))</f>
        <v/>
      </c>
      <c r="I205" s="34">
        <f>IF(OR($E205="",$F205=""),"",ROUND($F205*(1+$E205/30),1))</f>
        <v/>
      </c>
      <c r="J205" s="35">
        <f>IF($C205="","",_xlfn.MAXIFS($I$9:$I204,$C$9:$C204,$C205))</f>
        <v/>
      </c>
      <c r="K205" s="36">
        <f>IF(OR($C205="",$I205=""),"",IF($I205&gt;$J205,"PR",""))</f>
        <v/>
      </c>
      <c r="L205" s="37">
        <f>IF($B205=$B204,"",IF(SUMIFS($H$10:$H$297,$A$10:$A$297,$A205,$B$10:$B$297,$B205)=0,"",SUMIFS($H$10:$H$297,$A$10:$A$297,$A205,$B$10:$B$297,$B205)))</f>
        <v/>
      </c>
    </row>
    <row r="206">
      <c r="A206" s="31" t="n">
        <v>9</v>
      </c>
      <c r="B206" s="31" t="n">
        <v>1</v>
      </c>
      <c r="C206" s="32" t="n"/>
      <c r="D206" s="18" t="n"/>
      <c r="E206" s="18" t="n"/>
      <c r="F206" s="18" t="n"/>
      <c r="G206" s="18" t="n"/>
      <c r="H206" s="33">
        <f>IF(OR($D206="",$E206="",$F206=""),"",ROUND($D206*$E206*$F206,0))</f>
        <v/>
      </c>
      <c r="I206" s="34">
        <f>IF(OR($E206="",$F206=""),"",ROUND($F206*(1+$E206/30),1))</f>
        <v/>
      </c>
      <c r="J206" s="35">
        <f>IF($C206="","",_xlfn.MAXIFS($I$9:$I205,$C$9:$C205,$C206))</f>
        <v/>
      </c>
      <c r="K206" s="36">
        <f>IF(OR($C206="",$I206=""),"",IF($I206&gt;$J206,"PR",""))</f>
        <v/>
      </c>
      <c r="L206" s="37">
        <f>IF($B206=$B205,"",IF(SUMIFS($H$10:$H$297,$A$10:$A$297,$A206,$B$10:$B$297,$B206)=0,"",SUMIFS($H$10:$H$297,$A$10:$A$297,$A206,$B$10:$B$297,$B206)))</f>
        <v/>
      </c>
    </row>
    <row r="207">
      <c r="A207" s="31" t="n">
        <v>9</v>
      </c>
      <c r="B207" s="31" t="n">
        <v>1</v>
      </c>
      <c r="C207" s="32" t="n"/>
      <c r="D207" s="18" t="n"/>
      <c r="E207" s="18" t="n"/>
      <c r="F207" s="18" t="n"/>
      <c r="G207" s="18" t="n"/>
      <c r="H207" s="33">
        <f>IF(OR($D207="",$E207="",$F207=""),"",ROUND($D207*$E207*$F207,0))</f>
        <v/>
      </c>
      <c r="I207" s="34">
        <f>IF(OR($E207="",$F207=""),"",ROUND($F207*(1+$E207/30),1))</f>
        <v/>
      </c>
      <c r="J207" s="35">
        <f>IF($C207="","",_xlfn.MAXIFS($I$9:$I206,$C$9:$C206,$C207))</f>
        <v/>
      </c>
      <c r="K207" s="36">
        <f>IF(OR($C207="",$I207=""),"",IF($I207&gt;$J207,"PR",""))</f>
        <v/>
      </c>
      <c r="L207" s="37">
        <f>IF($B207=$B206,"",IF(SUMIFS($H$10:$H$297,$A$10:$A$297,$A207,$B$10:$B$297,$B207)=0,"",SUMIFS($H$10:$H$297,$A$10:$A$297,$A207,$B$10:$B$297,$B207)))</f>
        <v/>
      </c>
    </row>
    <row r="208">
      <c r="A208" s="38" t="n">
        <v>9</v>
      </c>
      <c r="B208" s="38" t="n">
        <v>2</v>
      </c>
      <c r="C208" s="39" t="n"/>
      <c r="D208" s="40" t="n"/>
      <c r="E208" s="40" t="n"/>
      <c r="F208" s="40" t="n"/>
      <c r="G208" s="40" t="n"/>
      <c r="H208" s="41">
        <f>IF(OR($D208="",$E208="",$F208=""),"",ROUND($D208*$E208*$F208,0))</f>
        <v/>
      </c>
      <c r="I208" s="42">
        <f>IF(OR($E208="",$F208=""),"",ROUND($F208*(1+$E208/30),1))</f>
        <v/>
      </c>
      <c r="J208" s="43">
        <f>IF($C208="","",_xlfn.MAXIFS($I$9:$I207,$C$9:$C207,$C208))</f>
        <v/>
      </c>
      <c r="K208" s="44">
        <f>IF(OR($C208="",$I208=""),"",IF($I208&gt;$J208,"PR",""))</f>
        <v/>
      </c>
      <c r="L208" s="45">
        <f>IF($B208=$B207,"",IF(SUMIFS($H$10:$H$297,$A$10:$A$297,$A208,$B$10:$B$297,$B208)=0,"",SUMIFS($H$10:$H$297,$A$10:$A$297,$A208,$B$10:$B$297,$B208)))</f>
        <v/>
      </c>
    </row>
    <row r="209">
      <c r="A209" s="31" t="n">
        <v>9</v>
      </c>
      <c r="B209" s="31" t="n">
        <v>2</v>
      </c>
      <c r="C209" s="32" t="n"/>
      <c r="D209" s="18" t="n"/>
      <c r="E209" s="18" t="n"/>
      <c r="F209" s="18" t="n"/>
      <c r="G209" s="18" t="n"/>
      <c r="H209" s="33">
        <f>IF(OR($D209="",$E209="",$F209=""),"",ROUND($D209*$E209*$F209,0))</f>
        <v/>
      </c>
      <c r="I209" s="34">
        <f>IF(OR($E209="",$F209=""),"",ROUND($F209*(1+$E209/30),1))</f>
        <v/>
      </c>
      <c r="J209" s="35">
        <f>IF($C209="","",_xlfn.MAXIFS($I$9:$I208,$C$9:$C208,$C209))</f>
        <v/>
      </c>
      <c r="K209" s="36">
        <f>IF(OR($C209="",$I209=""),"",IF($I209&gt;$J209,"PR",""))</f>
        <v/>
      </c>
      <c r="L209" s="37">
        <f>IF($B209=$B208,"",IF(SUMIFS($H$10:$H$297,$A$10:$A$297,$A209,$B$10:$B$297,$B209)=0,"",SUMIFS($H$10:$H$297,$A$10:$A$297,$A209,$B$10:$B$297,$B209)))</f>
        <v/>
      </c>
    </row>
    <row r="210">
      <c r="A210" s="31" t="n">
        <v>9</v>
      </c>
      <c r="B210" s="31" t="n">
        <v>2</v>
      </c>
      <c r="C210" s="32" t="n"/>
      <c r="D210" s="18" t="n"/>
      <c r="E210" s="18" t="n"/>
      <c r="F210" s="18" t="n"/>
      <c r="G210" s="18" t="n"/>
      <c r="H210" s="33">
        <f>IF(OR($D210="",$E210="",$F210=""),"",ROUND($D210*$E210*$F210,0))</f>
        <v/>
      </c>
      <c r="I210" s="34">
        <f>IF(OR($E210="",$F210=""),"",ROUND($F210*(1+$E210/30),1))</f>
        <v/>
      </c>
      <c r="J210" s="35">
        <f>IF($C210="","",_xlfn.MAXIFS($I$9:$I209,$C$9:$C209,$C210))</f>
        <v/>
      </c>
      <c r="K210" s="36">
        <f>IF(OR($C210="",$I210=""),"",IF($I210&gt;$J210,"PR",""))</f>
        <v/>
      </c>
      <c r="L210" s="37">
        <f>IF($B210=$B209,"",IF(SUMIFS($H$10:$H$297,$A$10:$A$297,$A210,$B$10:$B$297,$B210)=0,"",SUMIFS($H$10:$H$297,$A$10:$A$297,$A210,$B$10:$B$297,$B210)))</f>
        <v/>
      </c>
    </row>
    <row r="211">
      <c r="A211" s="31" t="n">
        <v>9</v>
      </c>
      <c r="B211" s="31" t="n">
        <v>2</v>
      </c>
      <c r="C211" s="32" t="n"/>
      <c r="D211" s="18" t="n"/>
      <c r="E211" s="18" t="n"/>
      <c r="F211" s="18" t="n"/>
      <c r="G211" s="18" t="n"/>
      <c r="H211" s="33">
        <f>IF(OR($D211="",$E211="",$F211=""),"",ROUND($D211*$E211*$F211,0))</f>
        <v/>
      </c>
      <c r="I211" s="34">
        <f>IF(OR($E211="",$F211=""),"",ROUND($F211*(1+$E211/30),1))</f>
        <v/>
      </c>
      <c r="J211" s="35">
        <f>IF($C211="","",_xlfn.MAXIFS($I$9:$I210,$C$9:$C210,$C211))</f>
        <v/>
      </c>
      <c r="K211" s="36">
        <f>IF(OR($C211="",$I211=""),"",IF($I211&gt;$J211,"PR",""))</f>
        <v/>
      </c>
      <c r="L211" s="37">
        <f>IF($B211=$B210,"",IF(SUMIFS($H$10:$H$297,$A$10:$A$297,$A211,$B$10:$B$297,$B211)=0,"",SUMIFS($H$10:$H$297,$A$10:$A$297,$A211,$B$10:$B$297,$B211)))</f>
        <v/>
      </c>
    </row>
    <row r="212">
      <c r="A212" s="31" t="n">
        <v>9</v>
      </c>
      <c r="B212" s="31" t="n">
        <v>2</v>
      </c>
      <c r="C212" s="32" t="n"/>
      <c r="D212" s="18" t="n"/>
      <c r="E212" s="18" t="n"/>
      <c r="F212" s="18" t="n"/>
      <c r="G212" s="18" t="n"/>
      <c r="H212" s="33">
        <f>IF(OR($D212="",$E212="",$F212=""),"",ROUND($D212*$E212*$F212,0))</f>
        <v/>
      </c>
      <c r="I212" s="34">
        <f>IF(OR($E212="",$F212=""),"",ROUND($F212*(1+$E212/30),1))</f>
        <v/>
      </c>
      <c r="J212" s="35">
        <f>IF($C212="","",_xlfn.MAXIFS($I$9:$I211,$C$9:$C211,$C212))</f>
        <v/>
      </c>
      <c r="K212" s="36">
        <f>IF(OR($C212="",$I212=""),"",IF($I212&gt;$J212,"PR",""))</f>
        <v/>
      </c>
      <c r="L212" s="37">
        <f>IF($B212=$B211,"",IF(SUMIFS($H$10:$H$297,$A$10:$A$297,$A212,$B$10:$B$297,$B212)=0,"",SUMIFS($H$10:$H$297,$A$10:$A$297,$A212,$B$10:$B$297,$B212)))</f>
        <v/>
      </c>
    </row>
    <row r="213">
      <c r="A213" s="31" t="n">
        <v>9</v>
      </c>
      <c r="B213" s="31" t="n">
        <v>2</v>
      </c>
      <c r="C213" s="32" t="n"/>
      <c r="D213" s="18" t="n"/>
      <c r="E213" s="18" t="n"/>
      <c r="F213" s="18" t="n"/>
      <c r="G213" s="18" t="n"/>
      <c r="H213" s="33">
        <f>IF(OR($D213="",$E213="",$F213=""),"",ROUND($D213*$E213*$F213,0))</f>
        <v/>
      </c>
      <c r="I213" s="34">
        <f>IF(OR($E213="",$F213=""),"",ROUND($F213*(1+$E213/30),1))</f>
        <v/>
      </c>
      <c r="J213" s="35">
        <f>IF($C213="","",_xlfn.MAXIFS($I$9:$I212,$C$9:$C212,$C213))</f>
        <v/>
      </c>
      <c r="K213" s="36">
        <f>IF(OR($C213="",$I213=""),"",IF($I213&gt;$J213,"PR",""))</f>
        <v/>
      </c>
      <c r="L213" s="37">
        <f>IF($B213=$B212,"",IF(SUMIFS($H$10:$H$297,$A$10:$A$297,$A213,$B$10:$B$297,$B213)=0,"",SUMIFS($H$10:$H$297,$A$10:$A$297,$A213,$B$10:$B$297,$B213)))</f>
        <v/>
      </c>
    </row>
    <row r="214">
      <c r="A214" s="38" t="n">
        <v>9</v>
      </c>
      <c r="B214" s="38" t="n">
        <v>3</v>
      </c>
      <c r="C214" s="39" t="n"/>
      <c r="D214" s="40" t="n"/>
      <c r="E214" s="40" t="n"/>
      <c r="F214" s="40" t="n"/>
      <c r="G214" s="40" t="n"/>
      <c r="H214" s="41">
        <f>IF(OR($D214="",$E214="",$F214=""),"",ROUND($D214*$E214*$F214,0))</f>
        <v/>
      </c>
      <c r="I214" s="42">
        <f>IF(OR($E214="",$F214=""),"",ROUND($F214*(1+$E214/30),1))</f>
        <v/>
      </c>
      <c r="J214" s="43">
        <f>IF($C214="","",_xlfn.MAXIFS($I$9:$I213,$C$9:$C213,$C214))</f>
        <v/>
      </c>
      <c r="K214" s="44">
        <f>IF(OR($C214="",$I214=""),"",IF($I214&gt;$J214,"PR",""))</f>
        <v/>
      </c>
      <c r="L214" s="45">
        <f>IF($B214=$B213,"",IF(SUMIFS($H$10:$H$297,$A$10:$A$297,$A214,$B$10:$B$297,$B214)=0,"",SUMIFS($H$10:$H$297,$A$10:$A$297,$A214,$B$10:$B$297,$B214)))</f>
        <v/>
      </c>
    </row>
    <row r="215">
      <c r="A215" s="31" t="n">
        <v>9</v>
      </c>
      <c r="B215" s="31" t="n">
        <v>3</v>
      </c>
      <c r="C215" s="32" t="n"/>
      <c r="D215" s="18" t="n"/>
      <c r="E215" s="18" t="n"/>
      <c r="F215" s="18" t="n"/>
      <c r="G215" s="18" t="n"/>
      <c r="H215" s="33">
        <f>IF(OR($D215="",$E215="",$F215=""),"",ROUND($D215*$E215*$F215,0))</f>
        <v/>
      </c>
      <c r="I215" s="34">
        <f>IF(OR($E215="",$F215=""),"",ROUND($F215*(1+$E215/30),1))</f>
        <v/>
      </c>
      <c r="J215" s="35">
        <f>IF($C215="","",_xlfn.MAXIFS($I$9:$I214,$C$9:$C214,$C215))</f>
        <v/>
      </c>
      <c r="K215" s="36">
        <f>IF(OR($C215="",$I215=""),"",IF($I215&gt;$J215,"PR",""))</f>
        <v/>
      </c>
      <c r="L215" s="37">
        <f>IF($B215=$B214,"",IF(SUMIFS($H$10:$H$297,$A$10:$A$297,$A215,$B$10:$B$297,$B215)=0,"",SUMIFS($H$10:$H$297,$A$10:$A$297,$A215,$B$10:$B$297,$B215)))</f>
        <v/>
      </c>
    </row>
    <row r="216">
      <c r="A216" s="31" t="n">
        <v>9</v>
      </c>
      <c r="B216" s="31" t="n">
        <v>3</v>
      </c>
      <c r="C216" s="32" t="n"/>
      <c r="D216" s="18" t="n"/>
      <c r="E216" s="18" t="n"/>
      <c r="F216" s="18" t="n"/>
      <c r="G216" s="18" t="n"/>
      <c r="H216" s="33">
        <f>IF(OR($D216="",$E216="",$F216=""),"",ROUND($D216*$E216*$F216,0))</f>
        <v/>
      </c>
      <c r="I216" s="34">
        <f>IF(OR($E216="",$F216=""),"",ROUND($F216*(1+$E216/30),1))</f>
        <v/>
      </c>
      <c r="J216" s="35">
        <f>IF($C216="","",_xlfn.MAXIFS($I$9:$I215,$C$9:$C215,$C216))</f>
        <v/>
      </c>
      <c r="K216" s="36">
        <f>IF(OR($C216="",$I216=""),"",IF($I216&gt;$J216,"PR",""))</f>
        <v/>
      </c>
      <c r="L216" s="37">
        <f>IF($B216=$B215,"",IF(SUMIFS($H$10:$H$297,$A$10:$A$297,$A216,$B$10:$B$297,$B216)=0,"",SUMIFS($H$10:$H$297,$A$10:$A$297,$A216,$B$10:$B$297,$B216)))</f>
        <v/>
      </c>
    </row>
    <row r="217">
      <c r="A217" s="31" t="n">
        <v>9</v>
      </c>
      <c r="B217" s="31" t="n">
        <v>3</v>
      </c>
      <c r="C217" s="32" t="n"/>
      <c r="D217" s="18" t="n"/>
      <c r="E217" s="18" t="n"/>
      <c r="F217" s="18" t="n"/>
      <c r="G217" s="18" t="n"/>
      <c r="H217" s="33">
        <f>IF(OR($D217="",$E217="",$F217=""),"",ROUND($D217*$E217*$F217,0))</f>
        <v/>
      </c>
      <c r="I217" s="34">
        <f>IF(OR($E217="",$F217=""),"",ROUND($F217*(1+$E217/30),1))</f>
        <v/>
      </c>
      <c r="J217" s="35">
        <f>IF($C217="","",_xlfn.MAXIFS($I$9:$I216,$C$9:$C216,$C217))</f>
        <v/>
      </c>
      <c r="K217" s="36">
        <f>IF(OR($C217="",$I217=""),"",IF($I217&gt;$J217,"PR",""))</f>
        <v/>
      </c>
      <c r="L217" s="37">
        <f>IF($B217=$B216,"",IF(SUMIFS($H$10:$H$297,$A$10:$A$297,$A217,$B$10:$B$297,$B217)=0,"",SUMIFS($H$10:$H$297,$A$10:$A$297,$A217,$B$10:$B$297,$B217)))</f>
        <v/>
      </c>
    </row>
    <row r="218">
      <c r="A218" s="31" t="n">
        <v>9</v>
      </c>
      <c r="B218" s="31" t="n">
        <v>3</v>
      </c>
      <c r="C218" s="32" t="n"/>
      <c r="D218" s="18" t="n"/>
      <c r="E218" s="18" t="n"/>
      <c r="F218" s="18" t="n"/>
      <c r="G218" s="18" t="n"/>
      <c r="H218" s="33">
        <f>IF(OR($D218="",$E218="",$F218=""),"",ROUND($D218*$E218*$F218,0))</f>
        <v/>
      </c>
      <c r="I218" s="34">
        <f>IF(OR($E218="",$F218=""),"",ROUND($F218*(1+$E218/30),1))</f>
        <v/>
      </c>
      <c r="J218" s="35">
        <f>IF($C218="","",_xlfn.MAXIFS($I$9:$I217,$C$9:$C217,$C218))</f>
        <v/>
      </c>
      <c r="K218" s="36">
        <f>IF(OR($C218="",$I218=""),"",IF($I218&gt;$J218,"PR",""))</f>
        <v/>
      </c>
      <c r="L218" s="37">
        <f>IF($B218=$B217,"",IF(SUMIFS($H$10:$H$297,$A$10:$A$297,$A218,$B$10:$B$297,$B218)=0,"",SUMIFS($H$10:$H$297,$A$10:$A$297,$A218,$B$10:$B$297,$B218)))</f>
        <v/>
      </c>
    </row>
    <row r="219">
      <c r="A219" s="31" t="n">
        <v>9</v>
      </c>
      <c r="B219" s="31" t="n">
        <v>3</v>
      </c>
      <c r="C219" s="32" t="n"/>
      <c r="D219" s="18" t="n"/>
      <c r="E219" s="18" t="n"/>
      <c r="F219" s="18" t="n"/>
      <c r="G219" s="18" t="n"/>
      <c r="H219" s="33">
        <f>IF(OR($D219="",$E219="",$F219=""),"",ROUND($D219*$E219*$F219,0))</f>
        <v/>
      </c>
      <c r="I219" s="34">
        <f>IF(OR($E219="",$F219=""),"",ROUND($F219*(1+$E219/30),1))</f>
        <v/>
      </c>
      <c r="J219" s="35">
        <f>IF($C219="","",_xlfn.MAXIFS($I$9:$I218,$C$9:$C218,$C219))</f>
        <v/>
      </c>
      <c r="K219" s="36">
        <f>IF(OR($C219="",$I219=""),"",IF($I219&gt;$J219,"PR",""))</f>
        <v/>
      </c>
      <c r="L219" s="37">
        <f>IF($B219=$B218,"",IF(SUMIFS($H$10:$H$297,$A$10:$A$297,$A219,$B$10:$B$297,$B219)=0,"",SUMIFS($H$10:$H$297,$A$10:$A$297,$A219,$B$10:$B$297,$B219)))</f>
        <v/>
      </c>
    </row>
    <row r="220">
      <c r="A220" s="38" t="n">
        <v>9</v>
      </c>
      <c r="B220" s="38" t="n">
        <v>4</v>
      </c>
      <c r="C220" s="39" t="n"/>
      <c r="D220" s="40" t="n"/>
      <c r="E220" s="40" t="n"/>
      <c r="F220" s="40" t="n"/>
      <c r="G220" s="40" t="n"/>
      <c r="H220" s="41">
        <f>IF(OR($D220="",$E220="",$F220=""),"",ROUND($D220*$E220*$F220,0))</f>
        <v/>
      </c>
      <c r="I220" s="42">
        <f>IF(OR($E220="",$F220=""),"",ROUND($F220*(1+$E220/30),1))</f>
        <v/>
      </c>
      <c r="J220" s="43">
        <f>IF($C220="","",_xlfn.MAXIFS($I$9:$I219,$C$9:$C219,$C220))</f>
        <v/>
      </c>
      <c r="K220" s="44">
        <f>IF(OR($C220="",$I220=""),"",IF($I220&gt;$J220,"PR",""))</f>
        <v/>
      </c>
      <c r="L220" s="45">
        <f>IF($B220=$B219,"",IF(SUMIFS($H$10:$H$297,$A$10:$A$297,$A220,$B$10:$B$297,$B220)=0,"",SUMIFS($H$10:$H$297,$A$10:$A$297,$A220,$B$10:$B$297,$B220)))</f>
        <v/>
      </c>
    </row>
    <row r="221">
      <c r="A221" s="31" t="n">
        <v>9</v>
      </c>
      <c r="B221" s="31" t="n">
        <v>4</v>
      </c>
      <c r="C221" s="32" t="n"/>
      <c r="D221" s="18" t="n"/>
      <c r="E221" s="18" t="n"/>
      <c r="F221" s="18" t="n"/>
      <c r="G221" s="18" t="n"/>
      <c r="H221" s="33">
        <f>IF(OR($D221="",$E221="",$F221=""),"",ROUND($D221*$E221*$F221,0))</f>
        <v/>
      </c>
      <c r="I221" s="34">
        <f>IF(OR($E221="",$F221=""),"",ROUND($F221*(1+$E221/30),1))</f>
        <v/>
      </c>
      <c r="J221" s="35">
        <f>IF($C221="","",_xlfn.MAXIFS($I$9:$I220,$C$9:$C220,$C221))</f>
        <v/>
      </c>
      <c r="K221" s="36">
        <f>IF(OR($C221="",$I221=""),"",IF($I221&gt;$J221,"PR",""))</f>
        <v/>
      </c>
      <c r="L221" s="37">
        <f>IF($B221=$B220,"",IF(SUMIFS($H$10:$H$297,$A$10:$A$297,$A221,$B$10:$B$297,$B221)=0,"",SUMIFS($H$10:$H$297,$A$10:$A$297,$A221,$B$10:$B$297,$B221)))</f>
        <v/>
      </c>
    </row>
    <row r="222">
      <c r="A222" s="31" t="n">
        <v>9</v>
      </c>
      <c r="B222" s="31" t="n">
        <v>4</v>
      </c>
      <c r="C222" s="32" t="n"/>
      <c r="D222" s="18" t="n"/>
      <c r="E222" s="18" t="n"/>
      <c r="F222" s="18" t="n"/>
      <c r="G222" s="18" t="n"/>
      <c r="H222" s="33">
        <f>IF(OR($D222="",$E222="",$F222=""),"",ROUND($D222*$E222*$F222,0))</f>
        <v/>
      </c>
      <c r="I222" s="34">
        <f>IF(OR($E222="",$F222=""),"",ROUND($F222*(1+$E222/30),1))</f>
        <v/>
      </c>
      <c r="J222" s="35">
        <f>IF($C222="","",_xlfn.MAXIFS($I$9:$I221,$C$9:$C221,$C222))</f>
        <v/>
      </c>
      <c r="K222" s="36">
        <f>IF(OR($C222="",$I222=""),"",IF($I222&gt;$J222,"PR",""))</f>
        <v/>
      </c>
      <c r="L222" s="37">
        <f>IF($B222=$B221,"",IF(SUMIFS($H$10:$H$297,$A$10:$A$297,$A222,$B$10:$B$297,$B222)=0,"",SUMIFS($H$10:$H$297,$A$10:$A$297,$A222,$B$10:$B$297,$B222)))</f>
        <v/>
      </c>
    </row>
    <row r="223">
      <c r="A223" s="31" t="n">
        <v>9</v>
      </c>
      <c r="B223" s="31" t="n">
        <v>4</v>
      </c>
      <c r="C223" s="32" t="n"/>
      <c r="D223" s="18" t="n"/>
      <c r="E223" s="18" t="n"/>
      <c r="F223" s="18" t="n"/>
      <c r="G223" s="18" t="n"/>
      <c r="H223" s="33">
        <f>IF(OR($D223="",$E223="",$F223=""),"",ROUND($D223*$E223*$F223,0))</f>
        <v/>
      </c>
      <c r="I223" s="34">
        <f>IF(OR($E223="",$F223=""),"",ROUND($F223*(1+$E223/30),1))</f>
        <v/>
      </c>
      <c r="J223" s="35">
        <f>IF($C223="","",_xlfn.MAXIFS($I$9:$I222,$C$9:$C222,$C223))</f>
        <v/>
      </c>
      <c r="K223" s="36">
        <f>IF(OR($C223="",$I223=""),"",IF($I223&gt;$J223,"PR",""))</f>
        <v/>
      </c>
      <c r="L223" s="37">
        <f>IF($B223=$B222,"",IF(SUMIFS($H$10:$H$297,$A$10:$A$297,$A223,$B$10:$B$297,$B223)=0,"",SUMIFS($H$10:$H$297,$A$10:$A$297,$A223,$B$10:$B$297,$B223)))</f>
        <v/>
      </c>
    </row>
    <row r="224">
      <c r="A224" s="31" t="n">
        <v>9</v>
      </c>
      <c r="B224" s="31" t="n">
        <v>4</v>
      </c>
      <c r="C224" s="32" t="n"/>
      <c r="D224" s="18" t="n"/>
      <c r="E224" s="18" t="n"/>
      <c r="F224" s="18" t="n"/>
      <c r="G224" s="18" t="n"/>
      <c r="H224" s="33">
        <f>IF(OR($D224="",$E224="",$F224=""),"",ROUND($D224*$E224*$F224,0))</f>
        <v/>
      </c>
      <c r="I224" s="34">
        <f>IF(OR($E224="",$F224=""),"",ROUND($F224*(1+$E224/30),1))</f>
        <v/>
      </c>
      <c r="J224" s="35">
        <f>IF($C224="","",_xlfn.MAXIFS($I$9:$I223,$C$9:$C223,$C224))</f>
        <v/>
      </c>
      <c r="K224" s="36">
        <f>IF(OR($C224="",$I224=""),"",IF($I224&gt;$J224,"PR",""))</f>
        <v/>
      </c>
      <c r="L224" s="37">
        <f>IF($B224=$B223,"",IF(SUMIFS($H$10:$H$297,$A$10:$A$297,$A224,$B$10:$B$297,$B224)=0,"",SUMIFS($H$10:$H$297,$A$10:$A$297,$A224,$B$10:$B$297,$B224)))</f>
        <v/>
      </c>
    </row>
    <row r="225">
      <c r="A225" s="31" t="n">
        <v>9</v>
      </c>
      <c r="B225" s="31" t="n">
        <v>4</v>
      </c>
      <c r="C225" s="32" t="n"/>
      <c r="D225" s="18" t="n"/>
      <c r="E225" s="18" t="n"/>
      <c r="F225" s="18" t="n"/>
      <c r="G225" s="18" t="n"/>
      <c r="H225" s="33">
        <f>IF(OR($D225="",$E225="",$F225=""),"",ROUND($D225*$E225*$F225,0))</f>
        <v/>
      </c>
      <c r="I225" s="34">
        <f>IF(OR($E225="",$F225=""),"",ROUND($F225*(1+$E225/30),1))</f>
        <v/>
      </c>
      <c r="J225" s="35">
        <f>IF($C225="","",_xlfn.MAXIFS($I$9:$I224,$C$9:$C224,$C225))</f>
        <v/>
      </c>
      <c r="K225" s="36">
        <f>IF(OR($C225="",$I225=""),"",IF($I225&gt;$J225,"PR",""))</f>
        <v/>
      </c>
      <c r="L225" s="37">
        <f>IF($B225=$B224,"",IF(SUMIFS($H$10:$H$297,$A$10:$A$297,$A225,$B$10:$B$297,$B225)=0,"",SUMIFS($H$10:$H$297,$A$10:$A$297,$A225,$B$10:$B$297,$B225)))</f>
        <v/>
      </c>
    </row>
    <row r="226">
      <c r="A226" s="23" t="n">
        <v>10</v>
      </c>
      <c r="B226" s="23" t="n">
        <v>1</v>
      </c>
      <c r="C226" s="24" t="n"/>
      <c r="D226" s="25" t="n"/>
      <c r="E226" s="25" t="n"/>
      <c r="F226" s="25" t="n"/>
      <c r="G226" s="25" t="n"/>
      <c r="H226" s="26">
        <f>IF(OR($D226="",$E226="",$F226=""),"",ROUND($D226*$E226*$F226,0))</f>
        <v/>
      </c>
      <c r="I226" s="27">
        <f>IF(OR($E226="",$F226=""),"",ROUND($F226*(1+$E226/30),1))</f>
        <v/>
      </c>
      <c r="J226" s="28">
        <f>IF($C226="","",_xlfn.MAXIFS($I$9:$I225,$C$9:$C225,$C226))</f>
        <v/>
      </c>
      <c r="K226" s="29">
        <f>IF(OR($C226="",$I226=""),"",IF($I226&gt;$J226,"PR",""))</f>
        <v/>
      </c>
      <c r="L226" s="30">
        <f>IF($B226=$B225,"",IF(SUMIFS($H$10:$H$297,$A$10:$A$297,$A226,$B$10:$B$297,$B226)=0,"",SUMIFS($H$10:$H$297,$A$10:$A$297,$A226,$B$10:$B$297,$B226)))</f>
        <v/>
      </c>
    </row>
    <row r="227">
      <c r="A227" s="31" t="n">
        <v>10</v>
      </c>
      <c r="B227" s="31" t="n">
        <v>1</v>
      </c>
      <c r="C227" s="32" t="n"/>
      <c r="D227" s="18" t="n"/>
      <c r="E227" s="18" t="n"/>
      <c r="F227" s="18" t="n"/>
      <c r="G227" s="18" t="n"/>
      <c r="H227" s="33">
        <f>IF(OR($D227="",$E227="",$F227=""),"",ROUND($D227*$E227*$F227,0))</f>
        <v/>
      </c>
      <c r="I227" s="34">
        <f>IF(OR($E227="",$F227=""),"",ROUND($F227*(1+$E227/30),1))</f>
        <v/>
      </c>
      <c r="J227" s="35">
        <f>IF($C227="","",_xlfn.MAXIFS($I$9:$I226,$C$9:$C226,$C227))</f>
        <v/>
      </c>
      <c r="K227" s="36">
        <f>IF(OR($C227="",$I227=""),"",IF($I227&gt;$J227,"PR",""))</f>
        <v/>
      </c>
      <c r="L227" s="37">
        <f>IF($B227=$B226,"",IF(SUMIFS($H$10:$H$297,$A$10:$A$297,$A227,$B$10:$B$297,$B227)=0,"",SUMIFS($H$10:$H$297,$A$10:$A$297,$A227,$B$10:$B$297,$B227)))</f>
        <v/>
      </c>
    </row>
    <row r="228">
      <c r="A228" s="31" t="n">
        <v>10</v>
      </c>
      <c r="B228" s="31" t="n">
        <v>1</v>
      </c>
      <c r="C228" s="32" t="n"/>
      <c r="D228" s="18" t="n"/>
      <c r="E228" s="18" t="n"/>
      <c r="F228" s="18" t="n"/>
      <c r="G228" s="18" t="n"/>
      <c r="H228" s="33">
        <f>IF(OR($D228="",$E228="",$F228=""),"",ROUND($D228*$E228*$F228,0))</f>
        <v/>
      </c>
      <c r="I228" s="34">
        <f>IF(OR($E228="",$F228=""),"",ROUND($F228*(1+$E228/30),1))</f>
        <v/>
      </c>
      <c r="J228" s="35">
        <f>IF($C228="","",_xlfn.MAXIFS($I$9:$I227,$C$9:$C227,$C228))</f>
        <v/>
      </c>
      <c r="K228" s="36">
        <f>IF(OR($C228="",$I228=""),"",IF($I228&gt;$J228,"PR",""))</f>
        <v/>
      </c>
      <c r="L228" s="37">
        <f>IF($B228=$B227,"",IF(SUMIFS($H$10:$H$297,$A$10:$A$297,$A228,$B$10:$B$297,$B228)=0,"",SUMIFS($H$10:$H$297,$A$10:$A$297,$A228,$B$10:$B$297,$B228)))</f>
        <v/>
      </c>
    </row>
    <row r="229">
      <c r="A229" s="31" t="n">
        <v>10</v>
      </c>
      <c r="B229" s="31" t="n">
        <v>1</v>
      </c>
      <c r="C229" s="32" t="n"/>
      <c r="D229" s="18" t="n"/>
      <c r="E229" s="18" t="n"/>
      <c r="F229" s="18" t="n"/>
      <c r="G229" s="18" t="n"/>
      <c r="H229" s="33">
        <f>IF(OR($D229="",$E229="",$F229=""),"",ROUND($D229*$E229*$F229,0))</f>
        <v/>
      </c>
      <c r="I229" s="34">
        <f>IF(OR($E229="",$F229=""),"",ROUND($F229*(1+$E229/30),1))</f>
        <v/>
      </c>
      <c r="J229" s="35">
        <f>IF($C229="","",_xlfn.MAXIFS($I$9:$I228,$C$9:$C228,$C229))</f>
        <v/>
      </c>
      <c r="K229" s="36">
        <f>IF(OR($C229="",$I229=""),"",IF($I229&gt;$J229,"PR",""))</f>
        <v/>
      </c>
      <c r="L229" s="37">
        <f>IF($B229=$B228,"",IF(SUMIFS($H$10:$H$297,$A$10:$A$297,$A229,$B$10:$B$297,$B229)=0,"",SUMIFS($H$10:$H$297,$A$10:$A$297,$A229,$B$10:$B$297,$B229)))</f>
        <v/>
      </c>
    </row>
    <row r="230">
      <c r="A230" s="31" t="n">
        <v>10</v>
      </c>
      <c r="B230" s="31" t="n">
        <v>1</v>
      </c>
      <c r="C230" s="32" t="n"/>
      <c r="D230" s="18" t="n"/>
      <c r="E230" s="18" t="n"/>
      <c r="F230" s="18" t="n"/>
      <c r="G230" s="18" t="n"/>
      <c r="H230" s="33">
        <f>IF(OR($D230="",$E230="",$F230=""),"",ROUND($D230*$E230*$F230,0))</f>
        <v/>
      </c>
      <c r="I230" s="34">
        <f>IF(OR($E230="",$F230=""),"",ROUND($F230*(1+$E230/30),1))</f>
        <v/>
      </c>
      <c r="J230" s="35">
        <f>IF($C230="","",_xlfn.MAXIFS($I$9:$I229,$C$9:$C229,$C230))</f>
        <v/>
      </c>
      <c r="K230" s="36">
        <f>IF(OR($C230="",$I230=""),"",IF($I230&gt;$J230,"PR",""))</f>
        <v/>
      </c>
      <c r="L230" s="37">
        <f>IF($B230=$B229,"",IF(SUMIFS($H$10:$H$297,$A$10:$A$297,$A230,$B$10:$B$297,$B230)=0,"",SUMIFS($H$10:$H$297,$A$10:$A$297,$A230,$B$10:$B$297,$B230)))</f>
        <v/>
      </c>
    </row>
    <row r="231">
      <c r="A231" s="31" t="n">
        <v>10</v>
      </c>
      <c r="B231" s="31" t="n">
        <v>1</v>
      </c>
      <c r="C231" s="32" t="n"/>
      <c r="D231" s="18" t="n"/>
      <c r="E231" s="18" t="n"/>
      <c r="F231" s="18" t="n"/>
      <c r="G231" s="18" t="n"/>
      <c r="H231" s="33">
        <f>IF(OR($D231="",$E231="",$F231=""),"",ROUND($D231*$E231*$F231,0))</f>
        <v/>
      </c>
      <c r="I231" s="34">
        <f>IF(OR($E231="",$F231=""),"",ROUND($F231*(1+$E231/30),1))</f>
        <v/>
      </c>
      <c r="J231" s="35">
        <f>IF($C231="","",_xlfn.MAXIFS($I$9:$I230,$C$9:$C230,$C231))</f>
        <v/>
      </c>
      <c r="K231" s="36">
        <f>IF(OR($C231="",$I231=""),"",IF($I231&gt;$J231,"PR",""))</f>
        <v/>
      </c>
      <c r="L231" s="37">
        <f>IF($B231=$B230,"",IF(SUMIFS($H$10:$H$297,$A$10:$A$297,$A231,$B$10:$B$297,$B231)=0,"",SUMIFS($H$10:$H$297,$A$10:$A$297,$A231,$B$10:$B$297,$B231)))</f>
        <v/>
      </c>
    </row>
    <row r="232">
      <c r="A232" s="38" t="n">
        <v>10</v>
      </c>
      <c r="B232" s="38" t="n">
        <v>2</v>
      </c>
      <c r="C232" s="39" t="n"/>
      <c r="D232" s="40" t="n"/>
      <c r="E232" s="40" t="n"/>
      <c r="F232" s="40" t="n"/>
      <c r="G232" s="40" t="n"/>
      <c r="H232" s="41">
        <f>IF(OR($D232="",$E232="",$F232=""),"",ROUND($D232*$E232*$F232,0))</f>
        <v/>
      </c>
      <c r="I232" s="42">
        <f>IF(OR($E232="",$F232=""),"",ROUND($F232*(1+$E232/30),1))</f>
        <v/>
      </c>
      <c r="J232" s="43">
        <f>IF($C232="","",_xlfn.MAXIFS($I$9:$I231,$C$9:$C231,$C232))</f>
        <v/>
      </c>
      <c r="K232" s="44">
        <f>IF(OR($C232="",$I232=""),"",IF($I232&gt;$J232,"PR",""))</f>
        <v/>
      </c>
      <c r="L232" s="45">
        <f>IF($B232=$B231,"",IF(SUMIFS($H$10:$H$297,$A$10:$A$297,$A232,$B$10:$B$297,$B232)=0,"",SUMIFS($H$10:$H$297,$A$10:$A$297,$A232,$B$10:$B$297,$B232)))</f>
        <v/>
      </c>
    </row>
    <row r="233">
      <c r="A233" s="31" t="n">
        <v>10</v>
      </c>
      <c r="B233" s="31" t="n">
        <v>2</v>
      </c>
      <c r="C233" s="32" t="n"/>
      <c r="D233" s="18" t="n"/>
      <c r="E233" s="18" t="n"/>
      <c r="F233" s="18" t="n"/>
      <c r="G233" s="18" t="n"/>
      <c r="H233" s="33">
        <f>IF(OR($D233="",$E233="",$F233=""),"",ROUND($D233*$E233*$F233,0))</f>
        <v/>
      </c>
      <c r="I233" s="34">
        <f>IF(OR($E233="",$F233=""),"",ROUND($F233*(1+$E233/30),1))</f>
        <v/>
      </c>
      <c r="J233" s="35">
        <f>IF($C233="","",_xlfn.MAXIFS($I$9:$I232,$C$9:$C232,$C233))</f>
        <v/>
      </c>
      <c r="K233" s="36">
        <f>IF(OR($C233="",$I233=""),"",IF($I233&gt;$J233,"PR",""))</f>
        <v/>
      </c>
      <c r="L233" s="37">
        <f>IF($B233=$B232,"",IF(SUMIFS($H$10:$H$297,$A$10:$A$297,$A233,$B$10:$B$297,$B233)=0,"",SUMIFS($H$10:$H$297,$A$10:$A$297,$A233,$B$10:$B$297,$B233)))</f>
        <v/>
      </c>
    </row>
    <row r="234">
      <c r="A234" s="31" t="n">
        <v>10</v>
      </c>
      <c r="B234" s="31" t="n">
        <v>2</v>
      </c>
      <c r="C234" s="32" t="n"/>
      <c r="D234" s="18" t="n"/>
      <c r="E234" s="18" t="n"/>
      <c r="F234" s="18" t="n"/>
      <c r="G234" s="18" t="n"/>
      <c r="H234" s="33">
        <f>IF(OR($D234="",$E234="",$F234=""),"",ROUND($D234*$E234*$F234,0))</f>
        <v/>
      </c>
      <c r="I234" s="34">
        <f>IF(OR($E234="",$F234=""),"",ROUND($F234*(1+$E234/30),1))</f>
        <v/>
      </c>
      <c r="J234" s="35">
        <f>IF($C234="","",_xlfn.MAXIFS($I$9:$I233,$C$9:$C233,$C234))</f>
        <v/>
      </c>
      <c r="K234" s="36">
        <f>IF(OR($C234="",$I234=""),"",IF($I234&gt;$J234,"PR",""))</f>
        <v/>
      </c>
      <c r="L234" s="37">
        <f>IF($B234=$B233,"",IF(SUMIFS($H$10:$H$297,$A$10:$A$297,$A234,$B$10:$B$297,$B234)=0,"",SUMIFS($H$10:$H$297,$A$10:$A$297,$A234,$B$10:$B$297,$B234)))</f>
        <v/>
      </c>
    </row>
    <row r="235">
      <c r="A235" s="31" t="n">
        <v>10</v>
      </c>
      <c r="B235" s="31" t="n">
        <v>2</v>
      </c>
      <c r="C235" s="32" t="n"/>
      <c r="D235" s="18" t="n"/>
      <c r="E235" s="18" t="n"/>
      <c r="F235" s="18" t="n"/>
      <c r="G235" s="18" t="n"/>
      <c r="H235" s="33">
        <f>IF(OR($D235="",$E235="",$F235=""),"",ROUND($D235*$E235*$F235,0))</f>
        <v/>
      </c>
      <c r="I235" s="34">
        <f>IF(OR($E235="",$F235=""),"",ROUND($F235*(1+$E235/30),1))</f>
        <v/>
      </c>
      <c r="J235" s="35">
        <f>IF($C235="","",_xlfn.MAXIFS($I$9:$I234,$C$9:$C234,$C235))</f>
        <v/>
      </c>
      <c r="K235" s="36">
        <f>IF(OR($C235="",$I235=""),"",IF($I235&gt;$J235,"PR",""))</f>
        <v/>
      </c>
      <c r="L235" s="37">
        <f>IF($B235=$B234,"",IF(SUMIFS($H$10:$H$297,$A$10:$A$297,$A235,$B$10:$B$297,$B235)=0,"",SUMIFS($H$10:$H$297,$A$10:$A$297,$A235,$B$10:$B$297,$B235)))</f>
        <v/>
      </c>
    </row>
    <row r="236">
      <c r="A236" s="31" t="n">
        <v>10</v>
      </c>
      <c r="B236" s="31" t="n">
        <v>2</v>
      </c>
      <c r="C236" s="32" t="n"/>
      <c r="D236" s="18" t="n"/>
      <c r="E236" s="18" t="n"/>
      <c r="F236" s="18" t="n"/>
      <c r="G236" s="18" t="n"/>
      <c r="H236" s="33">
        <f>IF(OR($D236="",$E236="",$F236=""),"",ROUND($D236*$E236*$F236,0))</f>
        <v/>
      </c>
      <c r="I236" s="34">
        <f>IF(OR($E236="",$F236=""),"",ROUND($F236*(1+$E236/30),1))</f>
        <v/>
      </c>
      <c r="J236" s="35">
        <f>IF($C236="","",_xlfn.MAXIFS($I$9:$I235,$C$9:$C235,$C236))</f>
        <v/>
      </c>
      <c r="K236" s="36">
        <f>IF(OR($C236="",$I236=""),"",IF($I236&gt;$J236,"PR",""))</f>
        <v/>
      </c>
      <c r="L236" s="37">
        <f>IF($B236=$B235,"",IF(SUMIFS($H$10:$H$297,$A$10:$A$297,$A236,$B$10:$B$297,$B236)=0,"",SUMIFS($H$10:$H$297,$A$10:$A$297,$A236,$B$10:$B$297,$B236)))</f>
        <v/>
      </c>
    </row>
    <row r="237">
      <c r="A237" s="31" t="n">
        <v>10</v>
      </c>
      <c r="B237" s="31" t="n">
        <v>2</v>
      </c>
      <c r="C237" s="32" t="n"/>
      <c r="D237" s="18" t="n"/>
      <c r="E237" s="18" t="n"/>
      <c r="F237" s="18" t="n"/>
      <c r="G237" s="18" t="n"/>
      <c r="H237" s="33">
        <f>IF(OR($D237="",$E237="",$F237=""),"",ROUND($D237*$E237*$F237,0))</f>
        <v/>
      </c>
      <c r="I237" s="34">
        <f>IF(OR($E237="",$F237=""),"",ROUND($F237*(1+$E237/30),1))</f>
        <v/>
      </c>
      <c r="J237" s="35">
        <f>IF($C237="","",_xlfn.MAXIFS($I$9:$I236,$C$9:$C236,$C237))</f>
        <v/>
      </c>
      <c r="K237" s="36">
        <f>IF(OR($C237="",$I237=""),"",IF($I237&gt;$J237,"PR",""))</f>
        <v/>
      </c>
      <c r="L237" s="37">
        <f>IF($B237=$B236,"",IF(SUMIFS($H$10:$H$297,$A$10:$A$297,$A237,$B$10:$B$297,$B237)=0,"",SUMIFS($H$10:$H$297,$A$10:$A$297,$A237,$B$10:$B$297,$B237)))</f>
        <v/>
      </c>
    </row>
    <row r="238">
      <c r="A238" s="38" t="n">
        <v>10</v>
      </c>
      <c r="B238" s="38" t="n">
        <v>3</v>
      </c>
      <c r="C238" s="39" t="n"/>
      <c r="D238" s="40" t="n"/>
      <c r="E238" s="40" t="n"/>
      <c r="F238" s="40" t="n"/>
      <c r="G238" s="40" t="n"/>
      <c r="H238" s="41">
        <f>IF(OR($D238="",$E238="",$F238=""),"",ROUND($D238*$E238*$F238,0))</f>
        <v/>
      </c>
      <c r="I238" s="42">
        <f>IF(OR($E238="",$F238=""),"",ROUND($F238*(1+$E238/30),1))</f>
        <v/>
      </c>
      <c r="J238" s="43">
        <f>IF($C238="","",_xlfn.MAXIFS($I$9:$I237,$C$9:$C237,$C238))</f>
        <v/>
      </c>
      <c r="K238" s="44">
        <f>IF(OR($C238="",$I238=""),"",IF($I238&gt;$J238,"PR",""))</f>
        <v/>
      </c>
      <c r="L238" s="45">
        <f>IF($B238=$B237,"",IF(SUMIFS($H$10:$H$297,$A$10:$A$297,$A238,$B$10:$B$297,$B238)=0,"",SUMIFS($H$10:$H$297,$A$10:$A$297,$A238,$B$10:$B$297,$B238)))</f>
        <v/>
      </c>
    </row>
    <row r="239">
      <c r="A239" s="31" t="n">
        <v>10</v>
      </c>
      <c r="B239" s="31" t="n">
        <v>3</v>
      </c>
      <c r="C239" s="32" t="n"/>
      <c r="D239" s="18" t="n"/>
      <c r="E239" s="18" t="n"/>
      <c r="F239" s="18" t="n"/>
      <c r="G239" s="18" t="n"/>
      <c r="H239" s="33">
        <f>IF(OR($D239="",$E239="",$F239=""),"",ROUND($D239*$E239*$F239,0))</f>
        <v/>
      </c>
      <c r="I239" s="34">
        <f>IF(OR($E239="",$F239=""),"",ROUND($F239*(1+$E239/30),1))</f>
        <v/>
      </c>
      <c r="J239" s="35">
        <f>IF($C239="","",_xlfn.MAXIFS($I$9:$I238,$C$9:$C238,$C239))</f>
        <v/>
      </c>
      <c r="K239" s="36">
        <f>IF(OR($C239="",$I239=""),"",IF($I239&gt;$J239,"PR",""))</f>
        <v/>
      </c>
      <c r="L239" s="37">
        <f>IF($B239=$B238,"",IF(SUMIFS($H$10:$H$297,$A$10:$A$297,$A239,$B$10:$B$297,$B239)=0,"",SUMIFS($H$10:$H$297,$A$10:$A$297,$A239,$B$10:$B$297,$B239)))</f>
        <v/>
      </c>
    </row>
    <row r="240">
      <c r="A240" s="31" t="n">
        <v>10</v>
      </c>
      <c r="B240" s="31" t="n">
        <v>3</v>
      </c>
      <c r="C240" s="32" t="n"/>
      <c r="D240" s="18" t="n"/>
      <c r="E240" s="18" t="n"/>
      <c r="F240" s="18" t="n"/>
      <c r="G240" s="18" t="n"/>
      <c r="H240" s="33">
        <f>IF(OR($D240="",$E240="",$F240=""),"",ROUND($D240*$E240*$F240,0))</f>
        <v/>
      </c>
      <c r="I240" s="34">
        <f>IF(OR($E240="",$F240=""),"",ROUND($F240*(1+$E240/30),1))</f>
        <v/>
      </c>
      <c r="J240" s="35">
        <f>IF($C240="","",_xlfn.MAXIFS($I$9:$I239,$C$9:$C239,$C240))</f>
        <v/>
      </c>
      <c r="K240" s="36">
        <f>IF(OR($C240="",$I240=""),"",IF($I240&gt;$J240,"PR",""))</f>
        <v/>
      </c>
      <c r="L240" s="37">
        <f>IF($B240=$B239,"",IF(SUMIFS($H$10:$H$297,$A$10:$A$297,$A240,$B$10:$B$297,$B240)=0,"",SUMIFS($H$10:$H$297,$A$10:$A$297,$A240,$B$10:$B$297,$B240)))</f>
        <v/>
      </c>
    </row>
    <row r="241">
      <c r="A241" s="31" t="n">
        <v>10</v>
      </c>
      <c r="B241" s="31" t="n">
        <v>3</v>
      </c>
      <c r="C241" s="32" t="n"/>
      <c r="D241" s="18" t="n"/>
      <c r="E241" s="18" t="n"/>
      <c r="F241" s="18" t="n"/>
      <c r="G241" s="18" t="n"/>
      <c r="H241" s="33">
        <f>IF(OR($D241="",$E241="",$F241=""),"",ROUND($D241*$E241*$F241,0))</f>
        <v/>
      </c>
      <c r="I241" s="34">
        <f>IF(OR($E241="",$F241=""),"",ROUND($F241*(1+$E241/30),1))</f>
        <v/>
      </c>
      <c r="J241" s="35">
        <f>IF($C241="","",_xlfn.MAXIFS($I$9:$I240,$C$9:$C240,$C241))</f>
        <v/>
      </c>
      <c r="K241" s="36">
        <f>IF(OR($C241="",$I241=""),"",IF($I241&gt;$J241,"PR",""))</f>
        <v/>
      </c>
      <c r="L241" s="37">
        <f>IF($B241=$B240,"",IF(SUMIFS($H$10:$H$297,$A$10:$A$297,$A241,$B$10:$B$297,$B241)=0,"",SUMIFS($H$10:$H$297,$A$10:$A$297,$A241,$B$10:$B$297,$B241)))</f>
        <v/>
      </c>
    </row>
    <row r="242">
      <c r="A242" s="31" t="n">
        <v>10</v>
      </c>
      <c r="B242" s="31" t="n">
        <v>3</v>
      </c>
      <c r="C242" s="32" t="n"/>
      <c r="D242" s="18" t="n"/>
      <c r="E242" s="18" t="n"/>
      <c r="F242" s="18" t="n"/>
      <c r="G242" s="18" t="n"/>
      <c r="H242" s="33">
        <f>IF(OR($D242="",$E242="",$F242=""),"",ROUND($D242*$E242*$F242,0))</f>
        <v/>
      </c>
      <c r="I242" s="34">
        <f>IF(OR($E242="",$F242=""),"",ROUND($F242*(1+$E242/30),1))</f>
        <v/>
      </c>
      <c r="J242" s="35">
        <f>IF($C242="","",_xlfn.MAXIFS($I$9:$I241,$C$9:$C241,$C242))</f>
        <v/>
      </c>
      <c r="K242" s="36">
        <f>IF(OR($C242="",$I242=""),"",IF($I242&gt;$J242,"PR",""))</f>
        <v/>
      </c>
      <c r="L242" s="37">
        <f>IF($B242=$B241,"",IF(SUMIFS($H$10:$H$297,$A$10:$A$297,$A242,$B$10:$B$297,$B242)=0,"",SUMIFS($H$10:$H$297,$A$10:$A$297,$A242,$B$10:$B$297,$B242)))</f>
        <v/>
      </c>
    </row>
    <row r="243">
      <c r="A243" s="31" t="n">
        <v>10</v>
      </c>
      <c r="B243" s="31" t="n">
        <v>3</v>
      </c>
      <c r="C243" s="32" t="n"/>
      <c r="D243" s="18" t="n"/>
      <c r="E243" s="18" t="n"/>
      <c r="F243" s="18" t="n"/>
      <c r="G243" s="18" t="n"/>
      <c r="H243" s="33">
        <f>IF(OR($D243="",$E243="",$F243=""),"",ROUND($D243*$E243*$F243,0))</f>
        <v/>
      </c>
      <c r="I243" s="34">
        <f>IF(OR($E243="",$F243=""),"",ROUND($F243*(1+$E243/30),1))</f>
        <v/>
      </c>
      <c r="J243" s="35">
        <f>IF($C243="","",_xlfn.MAXIFS($I$9:$I242,$C$9:$C242,$C243))</f>
        <v/>
      </c>
      <c r="K243" s="36">
        <f>IF(OR($C243="",$I243=""),"",IF($I243&gt;$J243,"PR",""))</f>
        <v/>
      </c>
      <c r="L243" s="37">
        <f>IF($B243=$B242,"",IF(SUMIFS($H$10:$H$297,$A$10:$A$297,$A243,$B$10:$B$297,$B243)=0,"",SUMIFS($H$10:$H$297,$A$10:$A$297,$A243,$B$10:$B$297,$B243)))</f>
        <v/>
      </c>
    </row>
    <row r="244">
      <c r="A244" s="38" t="n">
        <v>10</v>
      </c>
      <c r="B244" s="38" t="n">
        <v>4</v>
      </c>
      <c r="C244" s="39" t="n"/>
      <c r="D244" s="40" t="n"/>
      <c r="E244" s="40" t="n"/>
      <c r="F244" s="40" t="n"/>
      <c r="G244" s="40" t="n"/>
      <c r="H244" s="41">
        <f>IF(OR($D244="",$E244="",$F244=""),"",ROUND($D244*$E244*$F244,0))</f>
        <v/>
      </c>
      <c r="I244" s="42">
        <f>IF(OR($E244="",$F244=""),"",ROUND($F244*(1+$E244/30),1))</f>
        <v/>
      </c>
      <c r="J244" s="43">
        <f>IF($C244="","",_xlfn.MAXIFS($I$9:$I243,$C$9:$C243,$C244))</f>
        <v/>
      </c>
      <c r="K244" s="44">
        <f>IF(OR($C244="",$I244=""),"",IF($I244&gt;$J244,"PR",""))</f>
        <v/>
      </c>
      <c r="L244" s="45">
        <f>IF($B244=$B243,"",IF(SUMIFS($H$10:$H$297,$A$10:$A$297,$A244,$B$10:$B$297,$B244)=0,"",SUMIFS($H$10:$H$297,$A$10:$A$297,$A244,$B$10:$B$297,$B244)))</f>
        <v/>
      </c>
    </row>
    <row r="245">
      <c r="A245" s="31" t="n">
        <v>10</v>
      </c>
      <c r="B245" s="31" t="n">
        <v>4</v>
      </c>
      <c r="C245" s="32" t="n"/>
      <c r="D245" s="18" t="n"/>
      <c r="E245" s="18" t="n"/>
      <c r="F245" s="18" t="n"/>
      <c r="G245" s="18" t="n"/>
      <c r="H245" s="33">
        <f>IF(OR($D245="",$E245="",$F245=""),"",ROUND($D245*$E245*$F245,0))</f>
        <v/>
      </c>
      <c r="I245" s="34">
        <f>IF(OR($E245="",$F245=""),"",ROUND($F245*(1+$E245/30),1))</f>
        <v/>
      </c>
      <c r="J245" s="35">
        <f>IF($C245="","",_xlfn.MAXIFS($I$9:$I244,$C$9:$C244,$C245))</f>
        <v/>
      </c>
      <c r="K245" s="36">
        <f>IF(OR($C245="",$I245=""),"",IF($I245&gt;$J245,"PR",""))</f>
        <v/>
      </c>
      <c r="L245" s="37">
        <f>IF($B245=$B244,"",IF(SUMIFS($H$10:$H$297,$A$10:$A$297,$A245,$B$10:$B$297,$B245)=0,"",SUMIFS($H$10:$H$297,$A$10:$A$297,$A245,$B$10:$B$297,$B245)))</f>
        <v/>
      </c>
    </row>
    <row r="246">
      <c r="A246" s="31" t="n">
        <v>10</v>
      </c>
      <c r="B246" s="31" t="n">
        <v>4</v>
      </c>
      <c r="C246" s="32" t="n"/>
      <c r="D246" s="18" t="n"/>
      <c r="E246" s="18" t="n"/>
      <c r="F246" s="18" t="n"/>
      <c r="G246" s="18" t="n"/>
      <c r="H246" s="33">
        <f>IF(OR($D246="",$E246="",$F246=""),"",ROUND($D246*$E246*$F246,0))</f>
        <v/>
      </c>
      <c r="I246" s="34">
        <f>IF(OR($E246="",$F246=""),"",ROUND($F246*(1+$E246/30),1))</f>
        <v/>
      </c>
      <c r="J246" s="35">
        <f>IF($C246="","",_xlfn.MAXIFS($I$9:$I245,$C$9:$C245,$C246))</f>
        <v/>
      </c>
      <c r="K246" s="36">
        <f>IF(OR($C246="",$I246=""),"",IF($I246&gt;$J246,"PR",""))</f>
        <v/>
      </c>
      <c r="L246" s="37">
        <f>IF($B246=$B245,"",IF(SUMIFS($H$10:$H$297,$A$10:$A$297,$A246,$B$10:$B$297,$B246)=0,"",SUMIFS($H$10:$H$297,$A$10:$A$297,$A246,$B$10:$B$297,$B246)))</f>
        <v/>
      </c>
    </row>
    <row r="247">
      <c r="A247" s="31" t="n">
        <v>10</v>
      </c>
      <c r="B247" s="31" t="n">
        <v>4</v>
      </c>
      <c r="C247" s="32" t="n"/>
      <c r="D247" s="18" t="n"/>
      <c r="E247" s="18" t="n"/>
      <c r="F247" s="18" t="n"/>
      <c r="G247" s="18" t="n"/>
      <c r="H247" s="33">
        <f>IF(OR($D247="",$E247="",$F247=""),"",ROUND($D247*$E247*$F247,0))</f>
        <v/>
      </c>
      <c r="I247" s="34">
        <f>IF(OR($E247="",$F247=""),"",ROUND($F247*(1+$E247/30),1))</f>
        <v/>
      </c>
      <c r="J247" s="35">
        <f>IF($C247="","",_xlfn.MAXIFS($I$9:$I246,$C$9:$C246,$C247))</f>
        <v/>
      </c>
      <c r="K247" s="36">
        <f>IF(OR($C247="",$I247=""),"",IF($I247&gt;$J247,"PR",""))</f>
        <v/>
      </c>
      <c r="L247" s="37">
        <f>IF($B247=$B246,"",IF(SUMIFS($H$10:$H$297,$A$10:$A$297,$A247,$B$10:$B$297,$B247)=0,"",SUMIFS($H$10:$H$297,$A$10:$A$297,$A247,$B$10:$B$297,$B247)))</f>
        <v/>
      </c>
    </row>
    <row r="248">
      <c r="A248" s="31" t="n">
        <v>10</v>
      </c>
      <c r="B248" s="31" t="n">
        <v>4</v>
      </c>
      <c r="C248" s="32" t="n"/>
      <c r="D248" s="18" t="n"/>
      <c r="E248" s="18" t="n"/>
      <c r="F248" s="18" t="n"/>
      <c r="G248" s="18" t="n"/>
      <c r="H248" s="33">
        <f>IF(OR($D248="",$E248="",$F248=""),"",ROUND($D248*$E248*$F248,0))</f>
        <v/>
      </c>
      <c r="I248" s="34">
        <f>IF(OR($E248="",$F248=""),"",ROUND($F248*(1+$E248/30),1))</f>
        <v/>
      </c>
      <c r="J248" s="35">
        <f>IF($C248="","",_xlfn.MAXIFS($I$9:$I247,$C$9:$C247,$C248))</f>
        <v/>
      </c>
      <c r="K248" s="36">
        <f>IF(OR($C248="",$I248=""),"",IF($I248&gt;$J248,"PR",""))</f>
        <v/>
      </c>
      <c r="L248" s="37">
        <f>IF($B248=$B247,"",IF(SUMIFS($H$10:$H$297,$A$10:$A$297,$A248,$B$10:$B$297,$B248)=0,"",SUMIFS($H$10:$H$297,$A$10:$A$297,$A248,$B$10:$B$297,$B248)))</f>
        <v/>
      </c>
    </row>
    <row r="249">
      <c r="A249" s="31" t="n">
        <v>10</v>
      </c>
      <c r="B249" s="31" t="n">
        <v>4</v>
      </c>
      <c r="C249" s="32" t="n"/>
      <c r="D249" s="18" t="n"/>
      <c r="E249" s="18" t="n"/>
      <c r="F249" s="18" t="n"/>
      <c r="G249" s="18" t="n"/>
      <c r="H249" s="33">
        <f>IF(OR($D249="",$E249="",$F249=""),"",ROUND($D249*$E249*$F249,0))</f>
        <v/>
      </c>
      <c r="I249" s="34">
        <f>IF(OR($E249="",$F249=""),"",ROUND($F249*(1+$E249/30),1))</f>
        <v/>
      </c>
      <c r="J249" s="35">
        <f>IF($C249="","",_xlfn.MAXIFS($I$9:$I248,$C$9:$C248,$C249))</f>
        <v/>
      </c>
      <c r="K249" s="36">
        <f>IF(OR($C249="",$I249=""),"",IF($I249&gt;$J249,"PR",""))</f>
        <v/>
      </c>
      <c r="L249" s="37">
        <f>IF($B249=$B248,"",IF(SUMIFS($H$10:$H$297,$A$10:$A$297,$A249,$B$10:$B$297,$B249)=0,"",SUMIFS($H$10:$H$297,$A$10:$A$297,$A249,$B$10:$B$297,$B249)))</f>
        <v/>
      </c>
    </row>
    <row r="250">
      <c r="A250" s="23" t="n">
        <v>11</v>
      </c>
      <c r="B250" s="23" t="n">
        <v>1</v>
      </c>
      <c r="C250" s="24" t="n"/>
      <c r="D250" s="25" t="n"/>
      <c r="E250" s="25" t="n"/>
      <c r="F250" s="25" t="n"/>
      <c r="G250" s="25" t="n"/>
      <c r="H250" s="26">
        <f>IF(OR($D250="",$E250="",$F250=""),"",ROUND($D250*$E250*$F250,0))</f>
        <v/>
      </c>
      <c r="I250" s="27">
        <f>IF(OR($E250="",$F250=""),"",ROUND($F250*(1+$E250/30),1))</f>
        <v/>
      </c>
      <c r="J250" s="28">
        <f>IF($C250="","",_xlfn.MAXIFS($I$9:$I249,$C$9:$C249,$C250))</f>
        <v/>
      </c>
      <c r="K250" s="29">
        <f>IF(OR($C250="",$I250=""),"",IF($I250&gt;$J250,"PR",""))</f>
        <v/>
      </c>
      <c r="L250" s="30">
        <f>IF($B250=$B249,"",IF(SUMIFS($H$10:$H$297,$A$10:$A$297,$A250,$B$10:$B$297,$B250)=0,"",SUMIFS($H$10:$H$297,$A$10:$A$297,$A250,$B$10:$B$297,$B250)))</f>
        <v/>
      </c>
    </row>
    <row r="251">
      <c r="A251" s="31" t="n">
        <v>11</v>
      </c>
      <c r="B251" s="31" t="n">
        <v>1</v>
      </c>
      <c r="C251" s="32" t="n"/>
      <c r="D251" s="18" t="n"/>
      <c r="E251" s="18" t="n"/>
      <c r="F251" s="18" t="n"/>
      <c r="G251" s="18" t="n"/>
      <c r="H251" s="33">
        <f>IF(OR($D251="",$E251="",$F251=""),"",ROUND($D251*$E251*$F251,0))</f>
        <v/>
      </c>
      <c r="I251" s="34">
        <f>IF(OR($E251="",$F251=""),"",ROUND($F251*(1+$E251/30),1))</f>
        <v/>
      </c>
      <c r="J251" s="35">
        <f>IF($C251="","",_xlfn.MAXIFS($I$9:$I250,$C$9:$C250,$C251))</f>
        <v/>
      </c>
      <c r="K251" s="36">
        <f>IF(OR($C251="",$I251=""),"",IF($I251&gt;$J251,"PR",""))</f>
        <v/>
      </c>
      <c r="L251" s="37">
        <f>IF($B251=$B250,"",IF(SUMIFS($H$10:$H$297,$A$10:$A$297,$A251,$B$10:$B$297,$B251)=0,"",SUMIFS($H$10:$H$297,$A$10:$A$297,$A251,$B$10:$B$297,$B251)))</f>
        <v/>
      </c>
    </row>
    <row r="252">
      <c r="A252" s="31" t="n">
        <v>11</v>
      </c>
      <c r="B252" s="31" t="n">
        <v>1</v>
      </c>
      <c r="C252" s="32" t="n"/>
      <c r="D252" s="18" t="n"/>
      <c r="E252" s="18" t="n"/>
      <c r="F252" s="18" t="n"/>
      <c r="G252" s="18" t="n"/>
      <c r="H252" s="33">
        <f>IF(OR($D252="",$E252="",$F252=""),"",ROUND($D252*$E252*$F252,0))</f>
        <v/>
      </c>
      <c r="I252" s="34">
        <f>IF(OR($E252="",$F252=""),"",ROUND($F252*(1+$E252/30),1))</f>
        <v/>
      </c>
      <c r="J252" s="35">
        <f>IF($C252="","",_xlfn.MAXIFS($I$9:$I251,$C$9:$C251,$C252))</f>
        <v/>
      </c>
      <c r="K252" s="36">
        <f>IF(OR($C252="",$I252=""),"",IF($I252&gt;$J252,"PR",""))</f>
        <v/>
      </c>
      <c r="L252" s="37">
        <f>IF($B252=$B251,"",IF(SUMIFS($H$10:$H$297,$A$10:$A$297,$A252,$B$10:$B$297,$B252)=0,"",SUMIFS($H$10:$H$297,$A$10:$A$297,$A252,$B$10:$B$297,$B252)))</f>
        <v/>
      </c>
    </row>
    <row r="253">
      <c r="A253" s="31" t="n">
        <v>11</v>
      </c>
      <c r="B253" s="31" t="n">
        <v>1</v>
      </c>
      <c r="C253" s="32" t="n"/>
      <c r="D253" s="18" t="n"/>
      <c r="E253" s="18" t="n"/>
      <c r="F253" s="18" t="n"/>
      <c r="G253" s="18" t="n"/>
      <c r="H253" s="33">
        <f>IF(OR($D253="",$E253="",$F253=""),"",ROUND($D253*$E253*$F253,0))</f>
        <v/>
      </c>
      <c r="I253" s="34">
        <f>IF(OR($E253="",$F253=""),"",ROUND($F253*(1+$E253/30),1))</f>
        <v/>
      </c>
      <c r="J253" s="35">
        <f>IF($C253="","",_xlfn.MAXIFS($I$9:$I252,$C$9:$C252,$C253))</f>
        <v/>
      </c>
      <c r="K253" s="36">
        <f>IF(OR($C253="",$I253=""),"",IF($I253&gt;$J253,"PR",""))</f>
        <v/>
      </c>
      <c r="L253" s="37">
        <f>IF($B253=$B252,"",IF(SUMIFS($H$10:$H$297,$A$10:$A$297,$A253,$B$10:$B$297,$B253)=0,"",SUMIFS($H$10:$H$297,$A$10:$A$297,$A253,$B$10:$B$297,$B253)))</f>
        <v/>
      </c>
    </row>
    <row r="254">
      <c r="A254" s="31" t="n">
        <v>11</v>
      </c>
      <c r="B254" s="31" t="n">
        <v>1</v>
      </c>
      <c r="C254" s="32" t="n"/>
      <c r="D254" s="18" t="n"/>
      <c r="E254" s="18" t="n"/>
      <c r="F254" s="18" t="n"/>
      <c r="G254" s="18" t="n"/>
      <c r="H254" s="33">
        <f>IF(OR($D254="",$E254="",$F254=""),"",ROUND($D254*$E254*$F254,0))</f>
        <v/>
      </c>
      <c r="I254" s="34">
        <f>IF(OR($E254="",$F254=""),"",ROUND($F254*(1+$E254/30),1))</f>
        <v/>
      </c>
      <c r="J254" s="35">
        <f>IF($C254="","",_xlfn.MAXIFS($I$9:$I253,$C$9:$C253,$C254))</f>
        <v/>
      </c>
      <c r="K254" s="36">
        <f>IF(OR($C254="",$I254=""),"",IF($I254&gt;$J254,"PR",""))</f>
        <v/>
      </c>
      <c r="L254" s="37">
        <f>IF($B254=$B253,"",IF(SUMIFS($H$10:$H$297,$A$10:$A$297,$A254,$B$10:$B$297,$B254)=0,"",SUMIFS($H$10:$H$297,$A$10:$A$297,$A254,$B$10:$B$297,$B254)))</f>
        <v/>
      </c>
    </row>
    <row r="255">
      <c r="A255" s="31" t="n">
        <v>11</v>
      </c>
      <c r="B255" s="31" t="n">
        <v>1</v>
      </c>
      <c r="C255" s="32" t="n"/>
      <c r="D255" s="18" t="n"/>
      <c r="E255" s="18" t="n"/>
      <c r="F255" s="18" t="n"/>
      <c r="G255" s="18" t="n"/>
      <c r="H255" s="33">
        <f>IF(OR($D255="",$E255="",$F255=""),"",ROUND($D255*$E255*$F255,0))</f>
        <v/>
      </c>
      <c r="I255" s="34">
        <f>IF(OR($E255="",$F255=""),"",ROUND($F255*(1+$E255/30),1))</f>
        <v/>
      </c>
      <c r="J255" s="35">
        <f>IF($C255="","",_xlfn.MAXIFS($I$9:$I254,$C$9:$C254,$C255))</f>
        <v/>
      </c>
      <c r="K255" s="36">
        <f>IF(OR($C255="",$I255=""),"",IF($I255&gt;$J255,"PR",""))</f>
        <v/>
      </c>
      <c r="L255" s="37">
        <f>IF($B255=$B254,"",IF(SUMIFS($H$10:$H$297,$A$10:$A$297,$A255,$B$10:$B$297,$B255)=0,"",SUMIFS($H$10:$H$297,$A$10:$A$297,$A255,$B$10:$B$297,$B255)))</f>
        <v/>
      </c>
    </row>
    <row r="256">
      <c r="A256" s="38" t="n">
        <v>11</v>
      </c>
      <c r="B256" s="38" t="n">
        <v>2</v>
      </c>
      <c r="C256" s="39" t="n"/>
      <c r="D256" s="40" t="n"/>
      <c r="E256" s="40" t="n"/>
      <c r="F256" s="40" t="n"/>
      <c r="G256" s="40" t="n"/>
      <c r="H256" s="41">
        <f>IF(OR($D256="",$E256="",$F256=""),"",ROUND($D256*$E256*$F256,0))</f>
        <v/>
      </c>
      <c r="I256" s="42">
        <f>IF(OR($E256="",$F256=""),"",ROUND($F256*(1+$E256/30),1))</f>
        <v/>
      </c>
      <c r="J256" s="43">
        <f>IF($C256="","",_xlfn.MAXIFS($I$9:$I255,$C$9:$C255,$C256))</f>
        <v/>
      </c>
      <c r="K256" s="44">
        <f>IF(OR($C256="",$I256=""),"",IF($I256&gt;$J256,"PR",""))</f>
        <v/>
      </c>
      <c r="L256" s="45">
        <f>IF($B256=$B255,"",IF(SUMIFS($H$10:$H$297,$A$10:$A$297,$A256,$B$10:$B$297,$B256)=0,"",SUMIFS($H$10:$H$297,$A$10:$A$297,$A256,$B$10:$B$297,$B256)))</f>
        <v/>
      </c>
    </row>
    <row r="257">
      <c r="A257" s="31" t="n">
        <v>11</v>
      </c>
      <c r="B257" s="31" t="n">
        <v>2</v>
      </c>
      <c r="C257" s="32" t="n"/>
      <c r="D257" s="18" t="n"/>
      <c r="E257" s="18" t="n"/>
      <c r="F257" s="18" t="n"/>
      <c r="G257" s="18" t="n"/>
      <c r="H257" s="33">
        <f>IF(OR($D257="",$E257="",$F257=""),"",ROUND($D257*$E257*$F257,0))</f>
        <v/>
      </c>
      <c r="I257" s="34">
        <f>IF(OR($E257="",$F257=""),"",ROUND($F257*(1+$E257/30),1))</f>
        <v/>
      </c>
      <c r="J257" s="35">
        <f>IF($C257="","",_xlfn.MAXIFS($I$9:$I256,$C$9:$C256,$C257))</f>
        <v/>
      </c>
      <c r="K257" s="36">
        <f>IF(OR($C257="",$I257=""),"",IF($I257&gt;$J257,"PR",""))</f>
        <v/>
      </c>
      <c r="L257" s="37">
        <f>IF($B257=$B256,"",IF(SUMIFS($H$10:$H$297,$A$10:$A$297,$A257,$B$10:$B$297,$B257)=0,"",SUMIFS($H$10:$H$297,$A$10:$A$297,$A257,$B$10:$B$297,$B257)))</f>
        <v/>
      </c>
    </row>
    <row r="258">
      <c r="A258" s="31" t="n">
        <v>11</v>
      </c>
      <c r="B258" s="31" t="n">
        <v>2</v>
      </c>
      <c r="C258" s="32" t="n"/>
      <c r="D258" s="18" t="n"/>
      <c r="E258" s="18" t="n"/>
      <c r="F258" s="18" t="n"/>
      <c r="G258" s="18" t="n"/>
      <c r="H258" s="33">
        <f>IF(OR($D258="",$E258="",$F258=""),"",ROUND($D258*$E258*$F258,0))</f>
        <v/>
      </c>
      <c r="I258" s="34">
        <f>IF(OR($E258="",$F258=""),"",ROUND($F258*(1+$E258/30),1))</f>
        <v/>
      </c>
      <c r="J258" s="35">
        <f>IF($C258="","",_xlfn.MAXIFS($I$9:$I257,$C$9:$C257,$C258))</f>
        <v/>
      </c>
      <c r="K258" s="36">
        <f>IF(OR($C258="",$I258=""),"",IF($I258&gt;$J258,"PR",""))</f>
        <v/>
      </c>
      <c r="L258" s="37">
        <f>IF($B258=$B257,"",IF(SUMIFS($H$10:$H$297,$A$10:$A$297,$A258,$B$10:$B$297,$B258)=0,"",SUMIFS($H$10:$H$297,$A$10:$A$297,$A258,$B$10:$B$297,$B258)))</f>
        <v/>
      </c>
    </row>
    <row r="259">
      <c r="A259" s="31" t="n">
        <v>11</v>
      </c>
      <c r="B259" s="31" t="n">
        <v>2</v>
      </c>
      <c r="C259" s="32" t="n"/>
      <c r="D259" s="18" t="n"/>
      <c r="E259" s="18" t="n"/>
      <c r="F259" s="18" t="n"/>
      <c r="G259" s="18" t="n"/>
      <c r="H259" s="33">
        <f>IF(OR($D259="",$E259="",$F259=""),"",ROUND($D259*$E259*$F259,0))</f>
        <v/>
      </c>
      <c r="I259" s="34">
        <f>IF(OR($E259="",$F259=""),"",ROUND($F259*(1+$E259/30),1))</f>
        <v/>
      </c>
      <c r="J259" s="35">
        <f>IF($C259="","",_xlfn.MAXIFS($I$9:$I258,$C$9:$C258,$C259))</f>
        <v/>
      </c>
      <c r="K259" s="36">
        <f>IF(OR($C259="",$I259=""),"",IF($I259&gt;$J259,"PR",""))</f>
        <v/>
      </c>
      <c r="L259" s="37">
        <f>IF($B259=$B258,"",IF(SUMIFS($H$10:$H$297,$A$10:$A$297,$A259,$B$10:$B$297,$B259)=0,"",SUMIFS($H$10:$H$297,$A$10:$A$297,$A259,$B$10:$B$297,$B259)))</f>
        <v/>
      </c>
    </row>
    <row r="260">
      <c r="A260" s="31" t="n">
        <v>11</v>
      </c>
      <c r="B260" s="31" t="n">
        <v>2</v>
      </c>
      <c r="C260" s="32" t="n"/>
      <c r="D260" s="18" t="n"/>
      <c r="E260" s="18" t="n"/>
      <c r="F260" s="18" t="n"/>
      <c r="G260" s="18" t="n"/>
      <c r="H260" s="33">
        <f>IF(OR($D260="",$E260="",$F260=""),"",ROUND($D260*$E260*$F260,0))</f>
        <v/>
      </c>
      <c r="I260" s="34">
        <f>IF(OR($E260="",$F260=""),"",ROUND($F260*(1+$E260/30),1))</f>
        <v/>
      </c>
      <c r="J260" s="35">
        <f>IF($C260="","",_xlfn.MAXIFS($I$9:$I259,$C$9:$C259,$C260))</f>
        <v/>
      </c>
      <c r="K260" s="36">
        <f>IF(OR($C260="",$I260=""),"",IF($I260&gt;$J260,"PR",""))</f>
        <v/>
      </c>
      <c r="L260" s="37">
        <f>IF($B260=$B259,"",IF(SUMIFS($H$10:$H$297,$A$10:$A$297,$A260,$B$10:$B$297,$B260)=0,"",SUMIFS($H$10:$H$297,$A$10:$A$297,$A260,$B$10:$B$297,$B260)))</f>
        <v/>
      </c>
    </row>
    <row r="261">
      <c r="A261" s="31" t="n">
        <v>11</v>
      </c>
      <c r="B261" s="31" t="n">
        <v>2</v>
      </c>
      <c r="C261" s="32" t="n"/>
      <c r="D261" s="18" t="n"/>
      <c r="E261" s="18" t="n"/>
      <c r="F261" s="18" t="n"/>
      <c r="G261" s="18" t="n"/>
      <c r="H261" s="33">
        <f>IF(OR($D261="",$E261="",$F261=""),"",ROUND($D261*$E261*$F261,0))</f>
        <v/>
      </c>
      <c r="I261" s="34">
        <f>IF(OR($E261="",$F261=""),"",ROUND($F261*(1+$E261/30),1))</f>
        <v/>
      </c>
      <c r="J261" s="35">
        <f>IF($C261="","",_xlfn.MAXIFS($I$9:$I260,$C$9:$C260,$C261))</f>
        <v/>
      </c>
      <c r="K261" s="36">
        <f>IF(OR($C261="",$I261=""),"",IF($I261&gt;$J261,"PR",""))</f>
        <v/>
      </c>
      <c r="L261" s="37">
        <f>IF($B261=$B260,"",IF(SUMIFS($H$10:$H$297,$A$10:$A$297,$A261,$B$10:$B$297,$B261)=0,"",SUMIFS($H$10:$H$297,$A$10:$A$297,$A261,$B$10:$B$297,$B261)))</f>
        <v/>
      </c>
    </row>
    <row r="262">
      <c r="A262" s="38" t="n">
        <v>11</v>
      </c>
      <c r="B262" s="38" t="n">
        <v>3</v>
      </c>
      <c r="C262" s="39" t="n"/>
      <c r="D262" s="40" t="n"/>
      <c r="E262" s="40" t="n"/>
      <c r="F262" s="40" t="n"/>
      <c r="G262" s="40" t="n"/>
      <c r="H262" s="41">
        <f>IF(OR($D262="",$E262="",$F262=""),"",ROUND($D262*$E262*$F262,0))</f>
        <v/>
      </c>
      <c r="I262" s="42">
        <f>IF(OR($E262="",$F262=""),"",ROUND($F262*(1+$E262/30),1))</f>
        <v/>
      </c>
      <c r="J262" s="43">
        <f>IF($C262="","",_xlfn.MAXIFS($I$9:$I261,$C$9:$C261,$C262))</f>
        <v/>
      </c>
      <c r="K262" s="44">
        <f>IF(OR($C262="",$I262=""),"",IF($I262&gt;$J262,"PR",""))</f>
        <v/>
      </c>
      <c r="L262" s="45">
        <f>IF($B262=$B261,"",IF(SUMIFS($H$10:$H$297,$A$10:$A$297,$A262,$B$10:$B$297,$B262)=0,"",SUMIFS($H$10:$H$297,$A$10:$A$297,$A262,$B$10:$B$297,$B262)))</f>
        <v/>
      </c>
    </row>
    <row r="263">
      <c r="A263" s="31" t="n">
        <v>11</v>
      </c>
      <c r="B263" s="31" t="n">
        <v>3</v>
      </c>
      <c r="C263" s="32" t="n"/>
      <c r="D263" s="18" t="n"/>
      <c r="E263" s="18" t="n"/>
      <c r="F263" s="18" t="n"/>
      <c r="G263" s="18" t="n"/>
      <c r="H263" s="33">
        <f>IF(OR($D263="",$E263="",$F263=""),"",ROUND($D263*$E263*$F263,0))</f>
        <v/>
      </c>
      <c r="I263" s="34">
        <f>IF(OR($E263="",$F263=""),"",ROUND($F263*(1+$E263/30),1))</f>
        <v/>
      </c>
      <c r="J263" s="35">
        <f>IF($C263="","",_xlfn.MAXIFS($I$9:$I262,$C$9:$C262,$C263))</f>
        <v/>
      </c>
      <c r="K263" s="36">
        <f>IF(OR($C263="",$I263=""),"",IF($I263&gt;$J263,"PR",""))</f>
        <v/>
      </c>
      <c r="L263" s="37">
        <f>IF($B263=$B262,"",IF(SUMIFS($H$10:$H$297,$A$10:$A$297,$A263,$B$10:$B$297,$B263)=0,"",SUMIFS($H$10:$H$297,$A$10:$A$297,$A263,$B$10:$B$297,$B263)))</f>
        <v/>
      </c>
    </row>
    <row r="264">
      <c r="A264" s="31" t="n">
        <v>11</v>
      </c>
      <c r="B264" s="31" t="n">
        <v>3</v>
      </c>
      <c r="C264" s="32" t="n"/>
      <c r="D264" s="18" t="n"/>
      <c r="E264" s="18" t="n"/>
      <c r="F264" s="18" t="n"/>
      <c r="G264" s="18" t="n"/>
      <c r="H264" s="33">
        <f>IF(OR($D264="",$E264="",$F264=""),"",ROUND($D264*$E264*$F264,0))</f>
        <v/>
      </c>
      <c r="I264" s="34">
        <f>IF(OR($E264="",$F264=""),"",ROUND($F264*(1+$E264/30),1))</f>
        <v/>
      </c>
      <c r="J264" s="35">
        <f>IF($C264="","",_xlfn.MAXIFS($I$9:$I263,$C$9:$C263,$C264))</f>
        <v/>
      </c>
      <c r="K264" s="36">
        <f>IF(OR($C264="",$I264=""),"",IF($I264&gt;$J264,"PR",""))</f>
        <v/>
      </c>
      <c r="L264" s="37">
        <f>IF($B264=$B263,"",IF(SUMIFS($H$10:$H$297,$A$10:$A$297,$A264,$B$10:$B$297,$B264)=0,"",SUMIFS($H$10:$H$297,$A$10:$A$297,$A264,$B$10:$B$297,$B264)))</f>
        <v/>
      </c>
    </row>
    <row r="265">
      <c r="A265" s="31" t="n">
        <v>11</v>
      </c>
      <c r="B265" s="31" t="n">
        <v>3</v>
      </c>
      <c r="C265" s="32" t="n"/>
      <c r="D265" s="18" t="n"/>
      <c r="E265" s="18" t="n"/>
      <c r="F265" s="18" t="n"/>
      <c r="G265" s="18" t="n"/>
      <c r="H265" s="33">
        <f>IF(OR($D265="",$E265="",$F265=""),"",ROUND($D265*$E265*$F265,0))</f>
        <v/>
      </c>
      <c r="I265" s="34">
        <f>IF(OR($E265="",$F265=""),"",ROUND($F265*(1+$E265/30),1))</f>
        <v/>
      </c>
      <c r="J265" s="35">
        <f>IF($C265="","",_xlfn.MAXIFS($I$9:$I264,$C$9:$C264,$C265))</f>
        <v/>
      </c>
      <c r="K265" s="36">
        <f>IF(OR($C265="",$I265=""),"",IF($I265&gt;$J265,"PR",""))</f>
        <v/>
      </c>
      <c r="L265" s="37">
        <f>IF($B265=$B264,"",IF(SUMIFS($H$10:$H$297,$A$10:$A$297,$A265,$B$10:$B$297,$B265)=0,"",SUMIFS($H$10:$H$297,$A$10:$A$297,$A265,$B$10:$B$297,$B265)))</f>
        <v/>
      </c>
    </row>
    <row r="266">
      <c r="A266" s="31" t="n">
        <v>11</v>
      </c>
      <c r="B266" s="31" t="n">
        <v>3</v>
      </c>
      <c r="C266" s="32" t="n"/>
      <c r="D266" s="18" t="n"/>
      <c r="E266" s="18" t="n"/>
      <c r="F266" s="18" t="n"/>
      <c r="G266" s="18" t="n"/>
      <c r="H266" s="33">
        <f>IF(OR($D266="",$E266="",$F266=""),"",ROUND($D266*$E266*$F266,0))</f>
        <v/>
      </c>
      <c r="I266" s="34">
        <f>IF(OR($E266="",$F266=""),"",ROUND($F266*(1+$E266/30),1))</f>
        <v/>
      </c>
      <c r="J266" s="35">
        <f>IF($C266="","",_xlfn.MAXIFS($I$9:$I265,$C$9:$C265,$C266))</f>
        <v/>
      </c>
      <c r="K266" s="36">
        <f>IF(OR($C266="",$I266=""),"",IF($I266&gt;$J266,"PR",""))</f>
        <v/>
      </c>
      <c r="L266" s="37">
        <f>IF($B266=$B265,"",IF(SUMIFS($H$10:$H$297,$A$10:$A$297,$A266,$B$10:$B$297,$B266)=0,"",SUMIFS($H$10:$H$297,$A$10:$A$297,$A266,$B$10:$B$297,$B266)))</f>
        <v/>
      </c>
    </row>
    <row r="267">
      <c r="A267" s="31" t="n">
        <v>11</v>
      </c>
      <c r="B267" s="31" t="n">
        <v>3</v>
      </c>
      <c r="C267" s="32" t="n"/>
      <c r="D267" s="18" t="n"/>
      <c r="E267" s="18" t="n"/>
      <c r="F267" s="18" t="n"/>
      <c r="G267" s="18" t="n"/>
      <c r="H267" s="33">
        <f>IF(OR($D267="",$E267="",$F267=""),"",ROUND($D267*$E267*$F267,0))</f>
        <v/>
      </c>
      <c r="I267" s="34">
        <f>IF(OR($E267="",$F267=""),"",ROUND($F267*(1+$E267/30),1))</f>
        <v/>
      </c>
      <c r="J267" s="35">
        <f>IF($C267="","",_xlfn.MAXIFS($I$9:$I266,$C$9:$C266,$C267))</f>
        <v/>
      </c>
      <c r="K267" s="36">
        <f>IF(OR($C267="",$I267=""),"",IF($I267&gt;$J267,"PR",""))</f>
        <v/>
      </c>
      <c r="L267" s="37">
        <f>IF($B267=$B266,"",IF(SUMIFS($H$10:$H$297,$A$10:$A$297,$A267,$B$10:$B$297,$B267)=0,"",SUMIFS($H$10:$H$297,$A$10:$A$297,$A267,$B$10:$B$297,$B267)))</f>
        <v/>
      </c>
    </row>
    <row r="268">
      <c r="A268" s="38" t="n">
        <v>11</v>
      </c>
      <c r="B268" s="38" t="n">
        <v>4</v>
      </c>
      <c r="C268" s="39" t="n"/>
      <c r="D268" s="40" t="n"/>
      <c r="E268" s="40" t="n"/>
      <c r="F268" s="40" t="n"/>
      <c r="G268" s="40" t="n"/>
      <c r="H268" s="41">
        <f>IF(OR($D268="",$E268="",$F268=""),"",ROUND($D268*$E268*$F268,0))</f>
        <v/>
      </c>
      <c r="I268" s="42">
        <f>IF(OR($E268="",$F268=""),"",ROUND($F268*(1+$E268/30),1))</f>
        <v/>
      </c>
      <c r="J268" s="43">
        <f>IF($C268="","",_xlfn.MAXIFS($I$9:$I267,$C$9:$C267,$C268))</f>
        <v/>
      </c>
      <c r="K268" s="44">
        <f>IF(OR($C268="",$I268=""),"",IF($I268&gt;$J268,"PR",""))</f>
        <v/>
      </c>
      <c r="L268" s="45">
        <f>IF($B268=$B267,"",IF(SUMIFS($H$10:$H$297,$A$10:$A$297,$A268,$B$10:$B$297,$B268)=0,"",SUMIFS($H$10:$H$297,$A$10:$A$297,$A268,$B$10:$B$297,$B268)))</f>
        <v/>
      </c>
    </row>
    <row r="269">
      <c r="A269" s="31" t="n">
        <v>11</v>
      </c>
      <c r="B269" s="31" t="n">
        <v>4</v>
      </c>
      <c r="C269" s="32" t="n"/>
      <c r="D269" s="18" t="n"/>
      <c r="E269" s="18" t="n"/>
      <c r="F269" s="18" t="n"/>
      <c r="G269" s="18" t="n"/>
      <c r="H269" s="33">
        <f>IF(OR($D269="",$E269="",$F269=""),"",ROUND($D269*$E269*$F269,0))</f>
        <v/>
      </c>
      <c r="I269" s="34">
        <f>IF(OR($E269="",$F269=""),"",ROUND($F269*(1+$E269/30),1))</f>
        <v/>
      </c>
      <c r="J269" s="35">
        <f>IF($C269="","",_xlfn.MAXIFS($I$9:$I268,$C$9:$C268,$C269))</f>
        <v/>
      </c>
      <c r="K269" s="36">
        <f>IF(OR($C269="",$I269=""),"",IF($I269&gt;$J269,"PR",""))</f>
        <v/>
      </c>
      <c r="L269" s="37">
        <f>IF($B269=$B268,"",IF(SUMIFS($H$10:$H$297,$A$10:$A$297,$A269,$B$10:$B$297,$B269)=0,"",SUMIFS($H$10:$H$297,$A$10:$A$297,$A269,$B$10:$B$297,$B269)))</f>
        <v/>
      </c>
    </row>
    <row r="270">
      <c r="A270" s="31" t="n">
        <v>11</v>
      </c>
      <c r="B270" s="31" t="n">
        <v>4</v>
      </c>
      <c r="C270" s="32" t="n"/>
      <c r="D270" s="18" t="n"/>
      <c r="E270" s="18" t="n"/>
      <c r="F270" s="18" t="n"/>
      <c r="G270" s="18" t="n"/>
      <c r="H270" s="33">
        <f>IF(OR($D270="",$E270="",$F270=""),"",ROUND($D270*$E270*$F270,0))</f>
        <v/>
      </c>
      <c r="I270" s="34">
        <f>IF(OR($E270="",$F270=""),"",ROUND($F270*(1+$E270/30),1))</f>
        <v/>
      </c>
      <c r="J270" s="35">
        <f>IF($C270="","",_xlfn.MAXIFS($I$9:$I269,$C$9:$C269,$C270))</f>
        <v/>
      </c>
      <c r="K270" s="36">
        <f>IF(OR($C270="",$I270=""),"",IF($I270&gt;$J270,"PR",""))</f>
        <v/>
      </c>
      <c r="L270" s="37">
        <f>IF($B270=$B269,"",IF(SUMIFS($H$10:$H$297,$A$10:$A$297,$A270,$B$10:$B$297,$B270)=0,"",SUMIFS($H$10:$H$297,$A$10:$A$297,$A270,$B$10:$B$297,$B270)))</f>
        <v/>
      </c>
    </row>
    <row r="271">
      <c r="A271" s="31" t="n">
        <v>11</v>
      </c>
      <c r="B271" s="31" t="n">
        <v>4</v>
      </c>
      <c r="C271" s="32" t="n"/>
      <c r="D271" s="18" t="n"/>
      <c r="E271" s="18" t="n"/>
      <c r="F271" s="18" t="n"/>
      <c r="G271" s="18" t="n"/>
      <c r="H271" s="33">
        <f>IF(OR($D271="",$E271="",$F271=""),"",ROUND($D271*$E271*$F271,0))</f>
        <v/>
      </c>
      <c r="I271" s="34">
        <f>IF(OR($E271="",$F271=""),"",ROUND($F271*(1+$E271/30),1))</f>
        <v/>
      </c>
      <c r="J271" s="35">
        <f>IF($C271="","",_xlfn.MAXIFS($I$9:$I270,$C$9:$C270,$C271))</f>
        <v/>
      </c>
      <c r="K271" s="36">
        <f>IF(OR($C271="",$I271=""),"",IF($I271&gt;$J271,"PR",""))</f>
        <v/>
      </c>
      <c r="L271" s="37">
        <f>IF($B271=$B270,"",IF(SUMIFS($H$10:$H$297,$A$10:$A$297,$A271,$B$10:$B$297,$B271)=0,"",SUMIFS($H$10:$H$297,$A$10:$A$297,$A271,$B$10:$B$297,$B271)))</f>
        <v/>
      </c>
    </row>
    <row r="272">
      <c r="A272" s="31" t="n">
        <v>11</v>
      </c>
      <c r="B272" s="31" t="n">
        <v>4</v>
      </c>
      <c r="C272" s="32" t="n"/>
      <c r="D272" s="18" t="n"/>
      <c r="E272" s="18" t="n"/>
      <c r="F272" s="18" t="n"/>
      <c r="G272" s="18" t="n"/>
      <c r="H272" s="33">
        <f>IF(OR($D272="",$E272="",$F272=""),"",ROUND($D272*$E272*$F272,0))</f>
        <v/>
      </c>
      <c r="I272" s="34">
        <f>IF(OR($E272="",$F272=""),"",ROUND($F272*(1+$E272/30),1))</f>
        <v/>
      </c>
      <c r="J272" s="35">
        <f>IF($C272="","",_xlfn.MAXIFS($I$9:$I271,$C$9:$C271,$C272))</f>
        <v/>
      </c>
      <c r="K272" s="36">
        <f>IF(OR($C272="",$I272=""),"",IF($I272&gt;$J272,"PR",""))</f>
        <v/>
      </c>
      <c r="L272" s="37">
        <f>IF($B272=$B271,"",IF(SUMIFS($H$10:$H$297,$A$10:$A$297,$A272,$B$10:$B$297,$B272)=0,"",SUMIFS($H$10:$H$297,$A$10:$A$297,$A272,$B$10:$B$297,$B272)))</f>
        <v/>
      </c>
    </row>
    <row r="273">
      <c r="A273" s="31" t="n">
        <v>11</v>
      </c>
      <c r="B273" s="31" t="n">
        <v>4</v>
      </c>
      <c r="C273" s="32" t="n"/>
      <c r="D273" s="18" t="n"/>
      <c r="E273" s="18" t="n"/>
      <c r="F273" s="18" t="n"/>
      <c r="G273" s="18" t="n"/>
      <c r="H273" s="33">
        <f>IF(OR($D273="",$E273="",$F273=""),"",ROUND($D273*$E273*$F273,0))</f>
        <v/>
      </c>
      <c r="I273" s="34">
        <f>IF(OR($E273="",$F273=""),"",ROUND($F273*(1+$E273/30),1))</f>
        <v/>
      </c>
      <c r="J273" s="35">
        <f>IF($C273="","",_xlfn.MAXIFS($I$9:$I272,$C$9:$C272,$C273))</f>
        <v/>
      </c>
      <c r="K273" s="36">
        <f>IF(OR($C273="",$I273=""),"",IF($I273&gt;$J273,"PR",""))</f>
        <v/>
      </c>
      <c r="L273" s="37">
        <f>IF($B273=$B272,"",IF(SUMIFS($H$10:$H$297,$A$10:$A$297,$A273,$B$10:$B$297,$B273)=0,"",SUMIFS($H$10:$H$297,$A$10:$A$297,$A273,$B$10:$B$297,$B273)))</f>
        <v/>
      </c>
    </row>
    <row r="274">
      <c r="A274" s="23" t="n">
        <v>12</v>
      </c>
      <c r="B274" s="23" t="n">
        <v>1</v>
      </c>
      <c r="C274" s="24" t="n"/>
      <c r="D274" s="25" t="n"/>
      <c r="E274" s="25" t="n"/>
      <c r="F274" s="25" t="n"/>
      <c r="G274" s="25" t="n"/>
      <c r="H274" s="26">
        <f>IF(OR($D274="",$E274="",$F274=""),"",ROUND($D274*$E274*$F274,0))</f>
        <v/>
      </c>
      <c r="I274" s="27">
        <f>IF(OR($E274="",$F274=""),"",ROUND($F274*(1+$E274/30),1))</f>
        <v/>
      </c>
      <c r="J274" s="28">
        <f>IF($C274="","",_xlfn.MAXIFS($I$9:$I273,$C$9:$C273,$C274))</f>
        <v/>
      </c>
      <c r="K274" s="29">
        <f>IF(OR($C274="",$I274=""),"",IF($I274&gt;$J274,"PR",""))</f>
        <v/>
      </c>
      <c r="L274" s="30">
        <f>IF($B274=$B273,"",IF(SUMIFS($H$10:$H$297,$A$10:$A$297,$A274,$B$10:$B$297,$B274)=0,"",SUMIFS($H$10:$H$297,$A$10:$A$297,$A274,$B$10:$B$297,$B274)))</f>
        <v/>
      </c>
    </row>
    <row r="275">
      <c r="A275" s="31" t="n">
        <v>12</v>
      </c>
      <c r="B275" s="31" t="n">
        <v>1</v>
      </c>
      <c r="C275" s="32" t="n"/>
      <c r="D275" s="18" t="n"/>
      <c r="E275" s="18" t="n"/>
      <c r="F275" s="18" t="n"/>
      <c r="G275" s="18" t="n"/>
      <c r="H275" s="33">
        <f>IF(OR($D275="",$E275="",$F275=""),"",ROUND($D275*$E275*$F275,0))</f>
        <v/>
      </c>
      <c r="I275" s="34">
        <f>IF(OR($E275="",$F275=""),"",ROUND($F275*(1+$E275/30),1))</f>
        <v/>
      </c>
      <c r="J275" s="35">
        <f>IF($C275="","",_xlfn.MAXIFS($I$9:$I274,$C$9:$C274,$C275))</f>
        <v/>
      </c>
      <c r="K275" s="36">
        <f>IF(OR($C275="",$I275=""),"",IF($I275&gt;$J275,"PR",""))</f>
        <v/>
      </c>
      <c r="L275" s="37">
        <f>IF($B275=$B274,"",IF(SUMIFS($H$10:$H$297,$A$10:$A$297,$A275,$B$10:$B$297,$B275)=0,"",SUMIFS($H$10:$H$297,$A$10:$A$297,$A275,$B$10:$B$297,$B275)))</f>
        <v/>
      </c>
    </row>
    <row r="276">
      <c r="A276" s="31" t="n">
        <v>12</v>
      </c>
      <c r="B276" s="31" t="n">
        <v>1</v>
      </c>
      <c r="C276" s="32" t="n"/>
      <c r="D276" s="18" t="n"/>
      <c r="E276" s="18" t="n"/>
      <c r="F276" s="18" t="n"/>
      <c r="G276" s="18" t="n"/>
      <c r="H276" s="33">
        <f>IF(OR($D276="",$E276="",$F276=""),"",ROUND($D276*$E276*$F276,0))</f>
        <v/>
      </c>
      <c r="I276" s="34">
        <f>IF(OR($E276="",$F276=""),"",ROUND($F276*(1+$E276/30),1))</f>
        <v/>
      </c>
      <c r="J276" s="35">
        <f>IF($C276="","",_xlfn.MAXIFS($I$9:$I275,$C$9:$C275,$C276))</f>
        <v/>
      </c>
      <c r="K276" s="36">
        <f>IF(OR($C276="",$I276=""),"",IF($I276&gt;$J276,"PR",""))</f>
        <v/>
      </c>
      <c r="L276" s="37">
        <f>IF($B276=$B275,"",IF(SUMIFS($H$10:$H$297,$A$10:$A$297,$A276,$B$10:$B$297,$B276)=0,"",SUMIFS($H$10:$H$297,$A$10:$A$297,$A276,$B$10:$B$297,$B276)))</f>
        <v/>
      </c>
    </row>
    <row r="277">
      <c r="A277" s="31" t="n">
        <v>12</v>
      </c>
      <c r="B277" s="31" t="n">
        <v>1</v>
      </c>
      <c r="C277" s="32" t="n"/>
      <c r="D277" s="18" t="n"/>
      <c r="E277" s="18" t="n"/>
      <c r="F277" s="18" t="n"/>
      <c r="G277" s="18" t="n"/>
      <c r="H277" s="33">
        <f>IF(OR($D277="",$E277="",$F277=""),"",ROUND($D277*$E277*$F277,0))</f>
        <v/>
      </c>
      <c r="I277" s="34">
        <f>IF(OR($E277="",$F277=""),"",ROUND($F277*(1+$E277/30),1))</f>
        <v/>
      </c>
      <c r="J277" s="35">
        <f>IF($C277="","",_xlfn.MAXIFS($I$9:$I276,$C$9:$C276,$C277))</f>
        <v/>
      </c>
      <c r="K277" s="36">
        <f>IF(OR($C277="",$I277=""),"",IF($I277&gt;$J277,"PR",""))</f>
        <v/>
      </c>
      <c r="L277" s="37">
        <f>IF($B277=$B276,"",IF(SUMIFS($H$10:$H$297,$A$10:$A$297,$A277,$B$10:$B$297,$B277)=0,"",SUMIFS($H$10:$H$297,$A$10:$A$297,$A277,$B$10:$B$297,$B277)))</f>
        <v/>
      </c>
    </row>
    <row r="278">
      <c r="A278" s="31" t="n">
        <v>12</v>
      </c>
      <c r="B278" s="31" t="n">
        <v>1</v>
      </c>
      <c r="C278" s="32" t="n"/>
      <c r="D278" s="18" t="n"/>
      <c r="E278" s="18" t="n"/>
      <c r="F278" s="18" t="n"/>
      <c r="G278" s="18" t="n"/>
      <c r="H278" s="33">
        <f>IF(OR($D278="",$E278="",$F278=""),"",ROUND($D278*$E278*$F278,0))</f>
        <v/>
      </c>
      <c r="I278" s="34">
        <f>IF(OR($E278="",$F278=""),"",ROUND($F278*(1+$E278/30),1))</f>
        <v/>
      </c>
      <c r="J278" s="35">
        <f>IF($C278="","",_xlfn.MAXIFS($I$9:$I277,$C$9:$C277,$C278))</f>
        <v/>
      </c>
      <c r="K278" s="36">
        <f>IF(OR($C278="",$I278=""),"",IF($I278&gt;$J278,"PR",""))</f>
        <v/>
      </c>
      <c r="L278" s="37">
        <f>IF($B278=$B277,"",IF(SUMIFS($H$10:$H$297,$A$10:$A$297,$A278,$B$10:$B$297,$B278)=0,"",SUMIFS($H$10:$H$297,$A$10:$A$297,$A278,$B$10:$B$297,$B278)))</f>
        <v/>
      </c>
    </row>
    <row r="279">
      <c r="A279" s="31" t="n">
        <v>12</v>
      </c>
      <c r="B279" s="31" t="n">
        <v>1</v>
      </c>
      <c r="C279" s="32" t="n"/>
      <c r="D279" s="18" t="n"/>
      <c r="E279" s="18" t="n"/>
      <c r="F279" s="18" t="n"/>
      <c r="G279" s="18" t="n"/>
      <c r="H279" s="33">
        <f>IF(OR($D279="",$E279="",$F279=""),"",ROUND($D279*$E279*$F279,0))</f>
        <v/>
      </c>
      <c r="I279" s="34">
        <f>IF(OR($E279="",$F279=""),"",ROUND($F279*(1+$E279/30),1))</f>
        <v/>
      </c>
      <c r="J279" s="35">
        <f>IF($C279="","",_xlfn.MAXIFS($I$9:$I278,$C$9:$C278,$C279))</f>
        <v/>
      </c>
      <c r="K279" s="36">
        <f>IF(OR($C279="",$I279=""),"",IF($I279&gt;$J279,"PR",""))</f>
        <v/>
      </c>
      <c r="L279" s="37">
        <f>IF($B279=$B278,"",IF(SUMIFS($H$10:$H$297,$A$10:$A$297,$A279,$B$10:$B$297,$B279)=0,"",SUMIFS($H$10:$H$297,$A$10:$A$297,$A279,$B$10:$B$297,$B279)))</f>
        <v/>
      </c>
    </row>
    <row r="280">
      <c r="A280" s="38" t="n">
        <v>12</v>
      </c>
      <c r="B280" s="38" t="n">
        <v>2</v>
      </c>
      <c r="C280" s="39" t="n"/>
      <c r="D280" s="40" t="n"/>
      <c r="E280" s="40" t="n"/>
      <c r="F280" s="40" t="n"/>
      <c r="G280" s="40" t="n"/>
      <c r="H280" s="41">
        <f>IF(OR($D280="",$E280="",$F280=""),"",ROUND($D280*$E280*$F280,0))</f>
        <v/>
      </c>
      <c r="I280" s="42">
        <f>IF(OR($E280="",$F280=""),"",ROUND($F280*(1+$E280/30),1))</f>
        <v/>
      </c>
      <c r="J280" s="43">
        <f>IF($C280="","",_xlfn.MAXIFS($I$9:$I279,$C$9:$C279,$C280))</f>
        <v/>
      </c>
      <c r="K280" s="44">
        <f>IF(OR($C280="",$I280=""),"",IF($I280&gt;$J280,"PR",""))</f>
        <v/>
      </c>
      <c r="L280" s="45">
        <f>IF($B280=$B279,"",IF(SUMIFS($H$10:$H$297,$A$10:$A$297,$A280,$B$10:$B$297,$B280)=0,"",SUMIFS($H$10:$H$297,$A$10:$A$297,$A280,$B$10:$B$297,$B280)))</f>
        <v/>
      </c>
    </row>
    <row r="281">
      <c r="A281" s="31" t="n">
        <v>12</v>
      </c>
      <c r="B281" s="31" t="n">
        <v>2</v>
      </c>
      <c r="C281" s="32" t="n"/>
      <c r="D281" s="18" t="n"/>
      <c r="E281" s="18" t="n"/>
      <c r="F281" s="18" t="n"/>
      <c r="G281" s="18" t="n"/>
      <c r="H281" s="33">
        <f>IF(OR($D281="",$E281="",$F281=""),"",ROUND($D281*$E281*$F281,0))</f>
        <v/>
      </c>
      <c r="I281" s="34">
        <f>IF(OR($E281="",$F281=""),"",ROUND($F281*(1+$E281/30),1))</f>
        <v/>
      </c>
      <c r="J281" s="35">
        <f>IF($C281="","",_xlfn.MAXIFS($I$9:$I280,$C$9:$C280,$C281))</f>
        <v/>
      </c>
      <c r="K281" s="36">
        <f>IF(OR($C281="",$I281=""),"",IF($I281&gt;$J281,"PR",""))</f>
        <v/>
      </c>
      <c r="L281" s="37">
        <f>IF($B281=$B280,"",IF(SUMIFS($H$10:$H$297,$A$10:$A$297,$A281,$B$10:$B$297,$B281)=0,"",SUMIFS($H$10:$H$297,$A$10:$A$297,$A281,$B$10:$B$297,$B281)))</f>
        <v/>
      </c>
    </row>
    <row r="282">
      <c r="A282" s="31" t="n">
        <v>12</v>
      </c>
      <c r="B282" s="31" t="n">
        <v>2</v>
      </c>
      <c r="C282" s="32" t="n"/>
      <c r="D282" s="18" t="n"/>
      <c r="E282" s="18" t="n"/>
      <c r="F282" s="18" t="n"/>
      <c r="G282" s="18" t="n"/>
      <c r="H282" s="33">
        <f>IF(OR($D282="",$E282="",$F282=""),"",ROUND($D282*$E282*$F282,0))</f>
        <v/>
      </c>
      <c r="I282" s="34">
        <f>IF(OR($E282="",$F282=""),"",ROUND($F282*(1+$E282/30),1))</f>
        <v/>
      </c>
      <c r="J282" s="35">
        <f>IF($C282="","",_xlfn.MAXIFS($I$9:$I281,$C$9:$C281,$C282))</f>
        <v/>
      </c>
      <c r="K282" s="36">
        <f>IF(OR($C282="",$I282=""),"",IF($I282&gt;$J282,"PR",""))</f>
        <v/>
      </c>
      <c r="L282" s="37">
        <f>IF($B282=$B281,"",IF(SUMIFS($H$10:$H$297,$A$10:$A$297,$A282,$B$10:$B$297,$B282)=0,"",SUMIFS($H$10:$H$297,$A$10:$A$297,$A282,$B$10:$B$297,$B282)))</f>
        <v/>
      </c>
    </row>
    <row r="283">
      <c r="A283" s="31" t="n">
        <v>12</v>
      </c>
      <c r="B283" s="31" t="n">
        <v>2</v>
      </c>
      <c r="C283" s="32" t="n"/>
      <c r="D283" s="18" t="n"/>
      <c r="E283" s="18" t="n"/>
      <c r="F283" s="18" t="n"/>
      <c r="G283" s="18" t="n"/>
      <c r="H283" s="33">
        <f>IF(OR($D283="",$E283="",$F283=""),"",ROUND($D283*$E283*$F283,0))</f>
        <v/>
      </c>
      <c r="I283" s="34">
        <f>IF(OR($E283="",$F283=""),"",ROUND($F283*(1+$E283/30),1))</f>
        <v/>
      </c>
      <c r="J283" s="35">
        <f>IF($C283="","",_xlfn.MAXIFS($I$9:$I282,$C$9:$C282,$C283))</f>
        <v/>
      </c>
      <c r="K283" s="36">
        <f>IF(OR($C283="",$I283=""),"",IF($I283&gt;$J283,"PR",""))</f>
        <v/>
      </c>
      <c r="L283" s="37">
        <f>IF($B283=$B282,"",IF(SUMIFS($H$10:$H$297,$A$10:$A$297,$A283,$B$10:$B$297,$B283)=0,"",SUMIFS($H$10:$H$297,$A$10:$A$297,$A283,$B$10:$B$297,$B283)))</f>
        <v/>
      </c>
    </row>
    <row r="284">
      <c r="A284" s="31" t="n">
        <v>12</v>
      </c>
      <c r="B284" s="31" t="n">
        <v>2</v>
      </c>
      <c r="C284" s="32" t="n"/>
      <c r="D284" s="18" t="n"/>
      <c r="E284" s="18" t="n"/>
      <c r="F284" s="18" t="n"/>
      <c r="G284" s="18" t="n"/>
      <c r="H284" s="33">
        <f>IF(OR($D284="",$E284="",$F284=""),"",ROUND($D284*$E284*$F284,0))</f>
        <v/>
      </c>
      <c r="I284" s="34">
        <f>IF(OR($E284="",$F284=""),"",ROUND($F284*(1+$E284/30),1))</f>
        <v/>
      </c>
      <c r="J284" s="35">
        <f>IF($C284="","",_xlfn.MAXIFS($I$9:$I283,$C$9:$C283,$C284))</f>
        <v/>
      </c>
      <c r="K284" s="36">
        <f>IF(OR($C284="",$I284=""),"",IF($I284&gt;$J284,"PR",""))</f>
        <v/>
      </c>
      <c r="L284" s="37">
        <f>IF($B284=$B283,"",IF(SUMIFS($H$10:$H$297,$A$10:$A$297,$A284,$B$10:$B$297,$B284)=0,"",SUMIFS($H$10:$H$297,$A$10:$A$297,$A284,$B$10:$B$297,$B284)))</f>
        <v/>
      </c>
    </row>
    <row r="285">
      <c r="A285" s="31" t="n">
        <v>12</v>
      </c>
      <c r="B285" s="31" t="n">
        <v>2</v>
      </c>
      <c r="C285" s="32" t="n"/>
      <c r="D285" s="18" t="n"/>
      <c r="E285" s="18" t="n"/>
      <c r="F285" s="18" t="n"/>
      <c r="G285" s="18" t="n"/>
      <c r="H285" s="33">
        <f>IF(OR($D285="",$E285="",$F285=""),"",ROUND($D285*$E285*$F285,0))</f>
        <v/>
      </c>
      <c r="I285" s="34">
        <f>IF(OR($E285="",$F285=""),"",ROUND($F285*(1+$E285/30),1))</f>
        <v/>
      </c>
      <c r="J285" s="35">
        <f>IF($C285="","",_xlfn.MAXIFS($I$9:$I284,$C$9:$C284,$C285))</f>
        <v/>
      </c>
      <c r="K285" s="36">
        <f>IF(OR($C285="",$I285=""),"",IF($I285&gt;$J285,"PR",""))</f>
        <v/>
      </c>
      <c r="L285" s="37">
        <f>IF($B285=$B284,"",IF(SUMIFS($H$10:$H$297,$A$10:$A$297,$A285,$B$10:$B$297,$B285)=0,"",SUMIFS($H$10:$H$297,$A$10:$A$297,$A285,$B$10:$B$297,$B285)))</f>
        <v/>
      </c>
    </row>
    <row r="286">
      <c r="A286" s="38" t="n">
        <v>12</v>
      </c>
      <c r="B286" s="38" t="n">
        <v>3</v>
      </c>
      <c r="C286" s="39" t="n"/>
      <c r="D286" s="40" t="n"/>
      <c r="E286" s="40" t="n"/>
      <c r="F286" s="40" t="n"/>
      <c r="G286" s="40" t="n"/>
      <c r="H286" s="41">
        <f>IF(OR($D286="",$E286="",$F286=""),"",ROUND($D286*$E286*$F286,0))</f>
        <v/>
      </c>
      <c r="I286" s="42">
        <f>IF(OR($E286="",$F286=""),"",ROUND($F286*(1+$E286/30),1))</f>
        <v/>
      </c>
      <c r="J286" s="43">
        <f>IF($C286="","",_xlfn.MAXIFS($I$9:$I285,$C$9:$C285,$C286))</f>
        <v/>
      </c>
      <c r="K286" s="44">
        <f>IF(OR($C286="",$I286=""),"",IF($I286&gt;$J286,"PR",""))</f>
        <v/>
      </c>
      <c r="L286" s="45">
        <f>IF($B286=$B285,"",IF(SUMIFS($H$10:$H$297,$A$10:$A$297,$A286,$B$10:$B$297,$B286)=0,"",SUMIFS($H$10:$H$297,$A$10:$A$297,$A286,$B$10:$B$297,$B286)))</f>
        <v/>
      </c>
    </row>
    <row r="287">
      <c r="A287" s="31" t="n">
        <v>12</v>
      </c>
      <c r="B287" s="31" t="n">
        <v>3</v>
      </c>
      <c r="C287" s="32" t="n"/>
      <c r="D287" s="18" t="n"/>
      <c r="E287" s="18" t="n"/>
      <c r="F287" s="18" t="n"/>
      <c r="G287" s="18" t="n"/>
      <c r="H287" s="33">
        <f>IF(OR($D287="",$E287="",$F287=""),"",ROUND($D287*$E287*$F287,0))</f>
        <v/>
      </c>
      <c r="I287" s="34">
        <f>IF(OR($E287="",$F287=""),"",ROUND($F287*(1+$E287/30),1))</f>
        <v/>
      </c>
      <c r="J287" s="35">
        <f>IF($C287="","",_xlfn.MAXIFS($I$9:$I286,$C$9:$C286,$C287))</f>
        <v/>
      </c>
      <c r="K287" s="36">
        <f>IF(OR($C287="",$I287=""),"",IF($I287&gt;$J287,"PR",""))</f>
        <v/>
      </c>
      <c r="L287" s="37">
        <f>IF($B287=$B286,"",IF(SUMIFS($H$10:$H$297,$A$10:$A$297,$A287,$B$10:$B$297,$B287)=0,"",SUMIFS($H$10:$H$297,$A$10:$A$297,$A287,$B$10:$B$297,$B287)))</f>
        <v/>
      </c>
    </row>
    <row r="288">
      <c r="A288" s="31" t="n">
        <v>12</v>
      </c>
      <c r="B288" s="31" t="n">
        <v>3</v>
      </c>
      <c r="C288" s="32" t="n"/>
      <c r="D288" s="18" t="n"/>
      <c r="E288" s="18" t="n"/>
      <c r="F288" s="18" t="n"/>
      <c r="G288" s="18" t="n"/>
      <c r="H288" s="33">
        <f>IF(OR($D288="",$E288="",$F288=""),"",ROUND($D288*$E288*$F288,0))</f>
        <v/>
      </c>
      <c r="I288" s="34">
        <f>IF(OR($E288="",$F288=""),"",ROUND($F288*(1+$E288/30),1))</f>
        <v/>
      </c>
      <c r="J288" s="35">
        <f>IF($C288="","",_xlfn.MAXIFS($I$9:$I287,$C$9:$C287,$C288))</f>
        <v/>
      </c>
      <c r="K288" s="36">
        <f>IF(OR($C288="",$I288=""),"",IF($I288&gt;$J288,"PR",""))</f>
        <v/>
      </c>
      <c r="L288" s="37">
        <f>IF($B288=$B287,"",IF(SUMIFS($H$10:$H$297,$A$10:$A$297,$A288,$B$10:$B$297,$B288)=0,"",SUMIFS($H$10:$H$297,$A$10:$A$297,$A288,$B$10:$B$297,$B288)))</f>
        <v/>
      </c>
    </row>
    <row r="289">
      <c r="A289" s="31" t="n">
        <v>12</v>
      </c>
      <c r="B289" s="31" t="n">
        <v>3</v>
      </c>
      <c r="C289" s="32" t="n"/>
      <c r="D289" s="18" t="n"/>
      <c r="E289" s="18" t="n"/>
      <c r="F289" s="18" t="n"/>
      <c r="G289" s="18" t="n"/>
      <c r="H289" s="33">
        <f>IF(OR($D289="",$E289="",$F289=""),"",ROUND($D289*$E289*$F289,0))</f>
        <v/>
      </c>
      <c r="I289" s="34">
        <f>IF(OR($E289="",$F289=""),"",ROUND($F289*(1+$E289/30),1))</f>
        <v/>
      </c>
      <c r="J289" s="35">
        <f>IF($C289="","",_xlfn.MAXIFS($I$9:$I288,$C$9:$C288,$C289))</f>
        <v/>
      </c>
      <c r="K289" s="36">
        <f>IF(OR($C289="",$I289=""),"",IF($I289&gt;$J289,"PR",""))</f>
        <v/>
      </c>
      <c r="L289" s="37">
        <f>IF($B289=$B288,"",IF(SUMIFS($H$10:$H$297,$A$10:$A$297,$A289,$B$10:$B$297,$B289)=0,"",SUMIFS($H$10:$H$297,$A$10:$A$297,$A289,$B$10:$B$297,$B289)))</f>
        <v/>
      </c>
    </row>
    <row r="290">
      <c r="A290" s="31" t="n">
        <v>12</v>
      </c>
      <c r="B290" s="31" t="n">
        <v>3</v>
      </c>
      <c r="C290" s="32" t="n"/>
      <c r="D290" s="18" t="n"/>
      <c r="E290" s="18" t="n"/>
      <c r="F290" s="18" t="n"/>
      <c r="G290" s="18" t="n"/>
      <c r="H290" s="33">
        <f>IF(OR($D290="",$E290="",$F290=""),"",ROUND($D290*$E290*$F290,0))</f>
        <v/>
      </c>
      <c r="I290" s="34">
        <f>IF(OR($E290="",$F290=""),"",ROUND($F290*(1+$E290/30),1))</f>
        <v/>
      </c>
      <c r="J290" s="35">
        <f>IF($C290="","",_xlfn.MAXIFS($I$9:$I289,$C$9:$C289,$C290))</f>
        <v/>
      </c>
      <c r="K290" s="36">
        <f>IF(OR($C290="",$I290=""),"",IF($I290&gt;$J290,"PR",""))</f>
        <v/>
      </c>
      <c r="L290" s="37">
        <f>IF($B290=$B289,"",IF(SUMIFS($H$10:$H$297,$A$10:$A$297,$A290,$B$10:$B$297,$B290)=0,"",SUMIFS($H$10:$H$297,$A$10:$A$297,$A290,$B$10:$B$297,$B290)))</f>
        <v/>
      </c>
    </row>
    <row r="291">
      <c r="A291" s="31" t="n">
        <v>12</v>
      </c>
      <c r="B291" s="31" t="n">
        <v>3</v>
      </c>
      <c r="C291" s="32" t="n"/>
      <c r="D291" s="18" t="n"/>
      <c r="E291" s="18" t="n"/>
      <c r="F291" s="18" t="n"/>
      <c r="G291" s="18" t="n"/>
      <c r="H291" s="33">
        <f>IF(OR($D291="",$E291="",$F291=""),"",ROUND($D291*$E291*$F291,0))</f>
        <v/>
      </c>
      <c r="I291" s="34">
        <f>IF(OR($E291="",$F291=""),"",ROUND($F291*(1+$E291/30),1))</f>
        <v/>
      </c>
      <c r="J291" s="35">
        <f>IF($C291="","",_xlfn.MAXIFS($I$9:$I290,$C$9:$C290,$C291))</f>
        <v/>
      </c>
      <c r="K291" s="36">
        <f>IF(OR($C291="",$I291=""),"",IF($I291&gt;$J291,"PR",""))</f>
        <v/>
      </c>
      <c r="L291" s="37">
        <f>IF($B291=$B290,"",IF(SUMIFS($H$10:$H$297,$A$10:$A$297,$A291,$B$10:$B$297,$B291)=0,"",SUMIFS($H$10:$H$297,$A$10:$A$297,$A291,$B$10:$B$297,$B291)))</f>
        <v/>
      </c>
    </row>
    <row r="292">
      <c r="A292" s="38" t="n">
        <v>12</v>
      </c>
      <c r="B292" s="38" t="n">
        <v>4</v>
      </c>
      <c r="C292" s="39" t="n"/>
      <c r="D292" s="40" t="n"/>
      <c r="E292" s="40" t="n"/>
      <c r="F292" s="40" t="n"/>
      <c r="G292" s="40" t="n"/>
      <c r="H292" s="41">
        <f>IF(OR($D292="",$E292="",$F292=""),"",ROUND($D292*$E292*$F292,0))</f>
        <v/>
      </c>
      <c r="I292" s="42">
        <f>IF(OR($E292="",$F292=""),"",ROUND($F292*(1+$E292/30),1))</f>
        <v/>
      </c>
      <c r="J292" s="43">
        <f>IF($C292="","",_xlfn.MAXIFS($I$9:$I291,$C$9:$C291,$C292))</f>
        <v/>
      </c>
      <c r="K292" s="44">
        <f>IF(OR($C292="",$I292=""),"",IF($I292&gt;$J292,"PR",""))</f>
        <v/>
      </c>
      <c r="L292" s="45">
        <f>IF($B292=$B291,"",IF(SUMIFS($H$10:$H$297,$A$10:$A$297,$A292,$B$10:$B$297,$B292)=0,"",SUMIFS($H$10:$H$297,$A$10:$A$297,$A292,$B$10:$B$297,$B292)))</f>
        <v/>
      </c>
    </row>
    <row r="293">
      <c r="A293" s="31" t="n">
        <v>12</v>
      </c>
      <c r="B293" s="31" t="n">
        <v>4</v>
      </c>
      <c r="C293" s="32" t="n"/>
      <c r="D293" s="18" t="n"/>
      <c r="E293" s="18" t="n"/>
      <c r="F293" s="18" t="n"/>
      <c r="G293" s="18" t="n"/>
      <c r="H293" s="33">
        <f>IF(OR($D293="",$E293="",$F293=""),"",ROUND($D293*$E293*$F293,0))</f>
        <v/>
      </c>
      <c r="I293" s="34">
        <f>IF(OR($E293="",$F293=""),"",ROUND($F293*(1+$E293/30),1))</f>
        <v/>
      </c>
      <c r="J293" s="35">
        <f>IF($C293="","",_xlfn.MAXIFS($I$9:$I292,$C$9:$C292,$C293))</f>
        <v/>
      </c>
      <c r="K293" s="36">
        <f>IF(OR($C293="",$I293=""),"",IF($I293&gt;$J293,"PR",""))</f>
        <v/>
      </c>
      <c r="L293" s="37">
        <f>IF($B293=$B292,"",IF(SUMIFS($H$10:$H$297,$A$10:$A$297,$A293,$B$10:$B$297,$B293)=0,"",SUMIFS($H$10:$H$297,$A$10:$A$297,$A293,$B$10:$B$297,$B293)))</f>
        <v/>
      </c>
    </row>
    <row r="294">
      <c r="A294" s="31" t="n">
        <v>12</v>
      </c>
      <c r="B294" s="31" t="n">
        <v>4</v>
      </c>
      <c r="C294" s="32" t="n"/>
      <c r="D294" s="18" t="n"/>
      <c r="E294" s="18" t="n"/>
      <c r="F294" s="18" t="n"/>
      <c r="G294" s="18" t="n"/>
      <c r="H294" s="33">
        <f>IF(OR($D294="",$E294="",$F294=""),"",ROUND($D294*$E294*$F294,0))</f>
        <v/>
      </c>
      <c r="I294" s="34">
        <f>IF(OR($E294="",$F294=""),"",ROUND($F294*(1+$E294/30),1))</f>
        <v/>
      </c>
      <c r="J294" s="35">
        <f>IF($C294="","",_xlfn.MAXIFS($I$9:$I293,$C$9:$C293,$C294))</f>
        <v/>
      </c>
      <c r="K294" s="36">
        <f>IF(OR($C294="",$I294=""),"",IF($I294&gt;$J294,"PR",""))</f>
        <v/>
      </c>
      <c r="L294" s="37">
        <f>IF($B294=$B293,"",IF(SUMIFS($H$10:$H$297,$A$10:$A$297,$A294,$B$10:$B$297,$B294)=0,"",SUMIFS($H$10:$H$297,$A$10:$A$297,$A294,$B$10:$B$297,$B294)))</f>
        <v/>
      </c>
    </row>
    <row r="295">
      <c r="A295" s="31" t="n">
        <v>12</v>
      </c>
      <c r="B295" s="31" t="n">
        <v>4</v>
      </c>
      <c r="C295" s="32" t="n"/>
      <c r="D295" s="18" t="n"/>
      <c r="E295" s="18" t="n"/>
      <c r="F295" s="18" t="n"/>
      <c r="G295" s="18" t="n"/>
      <c r="H295" s="33">
        <f>IF(OR($D295="",$E295="",$F295=""),"",ROUND($D295*$E295*$F295,0))</f>
        <v/>
      </c>
      <c r="I295" s="34">
        <f>IF(OR($E295="",$F295=""),"",ROUND($F295*(1+$E295/30),1))</f>
        <v/>
      </c>
      <c r="J295" s="35">
        <f>IF($C295="","",_xlfn.MAXIFS($I$9:$I294,$C$9:$C294,$C295))</f>
        <v/>
      </c>
      <c r="K295" s="36">
        <f>IF(OR($C295="",$I295=""),"",IF($I295&gt;$J295,"PR",""))</f>
        <v/>
      </c>
      <c r="L295" s="37">
        <f>IF($B295=$B294,"",IF(SUMIFS($H$10:$H$297,$A$10:$A$297,$A295,$B$10:$B$297,$B295)=0,"",SUMIFS($H$10:$H$297,$A$10:$A$297,$A295,$B$10:$B$297,$B295)))</f>
        <v/>
      </c>
    </row>
    <row r="296">
      <c r="A296" s="31" t="n">
        <v>12</v>
      </c>
      <c r="B296" s="31" t="n">
        <v>4</v>
      </c>
      <c r="C296" s="32" t="n"/>
      <c r="D296" s="18" t="n"/>
      <c r="E296" s="18" t="n"/>
      <c r="F296" s="18" t="n"/>
      <c r="G296" s="18" t="n"/>
      <c r="H296" s="33">
        <f>IF(OR($D296="",$E296="",$F296=""),"",ROUND($D296*$E296*$F296,0))</f>
        <v/>
      </c>
      <c r="I296" s="34">
        <f>IF(OR($E296="",$F296=""),"",ROUND($F296*(1+$E296/30),1))</f>
        <v/>
      </c>
      <c r="J296" s="35">
        <f>IF($C296="","",_xlfn.MAXIFS($I$9:$I295,$C$9:$C295,$C296))</f>
        <v/>
      </c>
      <c r="K296" s="36">
        <f>IF(OR($C296="",$I296=""),"",IF($I296&gt;$J296,"PR",""))</f>
        <v/>
      </c>
      <c r="L296" s="37">
        <f>IF($B296=$B295,"",IF(SUMIFS($H$10:$H$297,$A$10:$A$297,$A296,$B$10:$B$297,$B296)=0,"",SUMIFS($H$10:$H$297,$A$10:$A$297,$A296,$B$10:$B$297,$B296)))</f>
        <v/>
      </c>
    </row>
    <row r="297">
      <c r="A297" s="31" t="n">
        <v>12</v>
      </c>
      <c r="B297" s="31" t="n">
        <v>4</v>
      </c>
      <c r="C297" s="32" t="n"/>
      <c r="D297" s="18" t="n"/>
      <c r="E297" s="18" t="n"/>
      <c r="F297" s="18" t="n"/>
      <c r="G297" s="18" t="n"/>
      <c r="H297" s="33">
        <f>IF(OR($D297="",$E297="",$F297=""),"",ROUND($D297*$E297*$F297,0))</f>
        <v/>
      </c>
      <c r="I297" s="34">
        <f>IF(OR($E297="",$F297=""),"",ROUND($F297*(1+$E297/30),1))</f>
        <v/>
      </c>
      <c r="J297" s="35">
        <f>IF($C297="","",_xlfn.MAXIFS($I$9:$I296,$C$9:$C296,$C297))</f>
        <v/>
      </c>
      <c r="K297" s="36">
        <f>IF(OR($C297="",$I297=""),"",IF($I297&gt;$J297,"PR",""))</f>
        <v/>
      </c>
      <c r="L297" s="37">
        <f>IF($B297=$B296,"",IF(SUMIFS($H$10:$H$297,$A$10:$A$297,$A297,$B$10:$B$297,$B297)=0,"",SUMIFS($H$10:$H$297,$A$10:$A$297,$A297,$B$10:$B$297,$B297)))</f>
        <v/>
      </c>
    </row>
  </sheetData>
  <conditionalFormatting sqref="H10:K297">
    <cfRule type="expression" priority="1" dxfId="0">
      <formula>AND($I10&lt;&gt;"",$J10&lt;&gt;"",$I10&gt;$J10)</formula>
    </cfRule>
  </conditionalFormatting>
  <dataValidations count="1">
    <dataValidation sqref="C10:C297" showDropDown="0" showInputMessage="0" showErrorMessage="0" allowBlank="1" type="list">
      <formula1>Lifts</formula1>
    </dataValidation>
  </dataValidations>
  <pageMargins left="0.75" right="0.75" top="1" bottom="1" header="0.5" footer="0.5"/>
</worksheet>
</file>

<file path=xl/worksheets/sheet4.xml><?xml version="1.0" encoding="utf-8"?>
<worksheet xmlns="http://schemas.openxmlformats.org/spreadsheetml/2006/main">
  <sheetPr>
    <tabColor rgb="004A6FA5"/>
    <outlinePr summaryBelow="1" summaryRight="1"/>
    <pageSetUpPr/>
  </sheetPr>
  <dimension ref="B2:Q24"/>
  <sheetViews>
    <sheetView showGridLines="0" workbookViewId="0">
      <selection activeCell="A1" sqref="A1"/>
    </sheetView>
  </sheetViews>
  <sheetFormatPr baseColWidth="8" defaultRowHeight="15"/>
  <cols>
    <col width="2.5" customWidth="1" min="1" max="1"/>
    <col width="10" customWidth="1" min="2" max="2"/>
    <col width="15" customWidth="1" min="3" max="3"/>
    <col width="15" customWidth="1" min="4" max="4"/>
    <col width="15" customWidth="1" min="5" max="5"/>
    <col width="15" customWidth="1" min="6" max="6"/>
    <col width="15" customWidth="1" min="7" max="7"/>
    <col width="16" customWidth="1" min="8" max="8"/>
    <col width="3"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2" ht="26" customHeight="1">
      <c r="B2" s="9" t="inlineStr">
        <is>
          <t>Progress Dashboard</t>
        </is>
      </c>
    </row>
    <row r="3">
      <c r="B3" s="10" t="inlineStr">
        <is>
          <t>Reads the Training Log on its own. Nothing here needs typing.</t>
        </is>
      </c>
    </row>
    <row r="5" ht="16" customHeight="1">
      <c r="B5" s="46" t="inlineStr">
        <is>
          <t>SESSIONS LOGGED</t>
        </is>
      </c>
      <c r="C5" s="47" t="n"/>
      <c r="D5" s="46" t="inlineStr">
        <is>
          <t>WEEKS TRAINED</t>
        </is>
      </c>
      <c r="E5" s="46" t="inlineStr">
        <is>
          <t>BEST WEEK STREAK</t>
        </is>
      </c>
      <c r="F5" s="46" t="inlineStr">
        <is>
          <t>TOTAL TONNAGE</t>
        </is>
      </c>
      <c r="G5" s="47" t="n"/>
      <c r="H5" s="46" t="inlineStr">
        <is>
          <t>PRS SET</t>
        </is>
      </c>
    </row>
    <row r="6" ht="30" customHeight="1">
      <c r="B6" s="48">
        <f>COUNT('Training Log'!$L$10:$L$297)</f>
        <v/>
      </c>
      <c r="C6" s="47" t="n"/>
      <c r="D6" s="49">
        <f>COUNTIF($P$13:$P$24,"&gt;0")&amp;" of 12"</f>
        <v/>
      </c>
      <c r="E6" s="48">
        <f>MAX($Q$13:$Q$24)</f>
        <v/>
      </c>
      <c r="F6" s="50">
        <f>SUM('Training Log'!$H$10:$H$297)</f>
        <v/>
      </c>
      <c r="G6" s="47" t="n"/>
      <c r="H6" s="48">
        <f>COUNTIF('Training Log'!$K$10:$K$297,"PR")</f>
        <v/>
      </c>
    </row>
    <row r="9">
      <c r="B9" s="14" t="inlineStr">
        <is>
          <t>BEST e1RM BY WEEK</t>
        </is>
      </c>
    </row>
    <row r="10">
      <c r="B10" s="21" t="inlineStr">
        <is>
          <t>Core lifts, best estimated 1RM each week. Dash = not trained that week.</t>
        </is>
      </c>
    </row>
    <row r="11">
      <c r="J11" s="51" t="inlineStr">
        <is>
          <t>CHART DATA — feeds the graphs below. Leave as is.</t>
        </is>
      </c>
    </row>
    <row r="12" ht="18" customHeight="1">
      <c r="B12" s="15" t="inlineStr">
        <is>
          <t>Week</t>
        </is>
      </c>
      <c r="C12" s="15">
        <f>Setup!$B$10</f>
        <v/>
      </c>
      <c r="D12" s="15">
        <f>Setup!$B$11</f>
        <v/>
      </c>
      <c r="E12" s="15">
        <f>Setup!$B$12</f>
        <v/>
      </c>
      <c r="F12" s="15">
        <f>Setup!$B$13</f>
        <v/>
      </c>
      <c r="G12" s="15">
        <f>Setup!$B$14</f>
        <v/>
      </c>
      <c r="H12" s="15">
        <f>"Tonnage ("&amp;Units&amp;")"</f>
        <v/>
      </c>
      <c r="J12" s="52" t="inlineStr">
        <is>
          <t>Week</t>
        </is>
      </c>
      <c r="K12" s="52">
        <f>C$12</f>
        <v/>
      </c>
      <c r="L12" s="52">
        <f>D$12</f>
        <v/>
      </c>
      <c r="M12" s="52">
        <f>E$12</f>
        <v/>
      </c>
      <c r="N12" s="52">
        <f>F$12</f>
        <v/>
      </c>
      <c r="O12" s="52">
        <f>G$12</f>
        <v/>
      </c>
      <c r="P12" s="52" t="inlineStr">
        <is>
          <t>Tonnage</t>
        </is>
      </c>
      <c r="Q12" s="52" t="inlineStr">
        <is>
          <t>Streak</t>
        </is>
      </c>
    </row>
    <row r="13">
      <c r="B13" s="31" t="n">
        <v>1</v>
      </c>
      <c r="C13" s="53">
        <f>IF(_xlfn.MAXIFS('Training Log'!$I$10:$I$297,'Training Log'!$A$10:$A$297,$B13,'Training Log'!$C$10:$C$297,C$12)=0,"—",_xlfn.MAXIFS('Training Log'!$I$10:$I$297,'Training Log'!$A$10:$A$297,$B13,'Training Log'!$C$10:$C$297,C$12))</f>
        <v/>
      </c>
      <c r="D13" s="53">
        <f>IF(_xlfn.MAXIFS('Training Log'!$I$10:$I$297,'Training Log'!$A$10:$A$297,$B13,'Training Log'!$C$10:$C$297,D$12)=0,"—",_xlfn.MAXIFS('Training Log'!$I$10:$I$297,'Training Log'!$A$10:$A$297,$B13,'Training Log'!$C$10:$C$297,D$12))</f>
        <v/>
      </c>
      <c r="E13" s="53">
        <f>IF(_xlfn.MAXIFS('Training Log'!$I$10:$I$297,'Training Log'!$A$10:$A$297,$B13,'Training Log'!$C$10:$C$297,E$12)=0,"—",_xlfn.MAXIFS('Training Log'!$I$10:$I$297,'Training Log'!$A$10:$A$297,$B13,'Training Log'!$C$10:$C$297,E$12))</f>
        <v/>
      </c>
      <c r="F13" s="53">
        <f>IF(_xlfn.MAXIFS('Training Log'!$I$10:$I$297,'Training Log'!$A$10:$A$297,$B13,'Training Log'!$C$10:$C$297,F$12)=0,"—",_xlfn.MAXIFS('Training Log'!$I$10:$I$297,'Training Log'!$A$10:$A$297,$B13,'Training Log'!$C$10:$C$297,F$12))</f>
        <v/>
      </c>
      <c r="G13" s="53">
        <f>IF(_xlfn.MAXIFS('Training Log'!$I$10:$I$297,'Training Log'!$A$10:$A$297,$B13,'Training Log'!$C$10:$C$297,G$12)=0,"—",_xlfn.MAXIFS('Training Log'!$I$10:$I$297,'Training Log'!$A$10:$A$297,$B13,'Training Log'!$C$10:$C$297,G$12))</f>
        <v/>
      </c>
      <c r="H13" s="54">
        <f>SUMIF('Training Log'!$A$10:$A$297,$B13,'Training Log'!$H$10:$H$297)</f>
        <v/>
      </c>
      <c r="J13" s="55" t="n">
        <v>1</v>
      </c>
      <c r="K13" s="56">
        <f>IF(C13="—",NA(),C13)</f>
        <v/>
      </c>
      <c r="L13" s="56">
        <f>IF(D13="—",NA(),D13)</f>
        <v/>
      </c>
      <c r="M13" s="56">
        <f>IF(E13="—",NA(),E13)</f>
        <v/>
      </c>
      <c r="N13" s="56">
        <f>IF(F13="—",NA(),F13)</f>
        <v/>
      </c>
      <c r="O13" s="56">
        <f>IF(G13="—",NA(),G13)</f>
        <v/>
      </c>
      <c r="P13" s="57">
        <f>SUMIF('Training Log'!$A$10:$A$297,$J13,'Training Log'!$H$10:$H$297)</f>
        <v/>
      </c>
      <c r="Q13" s="55">
        <f>IF($P13&gt;0,1,0)</f>
        <v/>
      </c>
    </row>
    <row r="14">
      <c r="B14" s="31" t="n">
        <v>2</v>
      </c>
      <c r="C14" s="53">
        <f>IF(_xlfn.MAXIFS('Training Log'!$I$10:$I$297,'Training Log'!$A$10:$A$297,$B14,'Training Log'!$C$10:$C$297,C$12)=0,"—",_xlfn.MAXIFS('Training Log'!$I$10:$I$297,'Training Log'!$A$10:$A$297,$B14,'Training Log'!$C$10:$C$297,C$12))</f>
        <v/>
      </c>
      <c r="D14" s="53">
        <f>IF(_xlfn.MAXIFS('Training Log'!$I$10:$I$297,'Training Log'!$A$10:$A$297,$B14,'Training Log'!$C$10:$C$297,D$12)=0,"—",_xlfn.MAXIFS('Training Log'!$I$10:$I$297,'Training Log'!$A$10:$A$297,$B14,'Training Log'!$C$10:$C$297,D$12))</f>
        <v/>
      </c>
      <c r="E14" s="53">
        <f>IF(_xlfn.MAXIFS('Training Log'!$I$10:$I$297,'Training Log'!$A$10:$A$297,$B14,'Training Log'!$C$10:$C$297,E$12)=0,"—",_xlfn.MAXIFS('Training Log'!$I$10:$I$297,'Training Log'!$A$10:$A$297,$B14,'Training Log'!$C$10:$C$297,E$12))</f>
        <v/>
      </c>
      <c r="F14" s="53">
        <f>IF(_xlfn.MAXIFS('Training Log'!$I$10:$I$297,'Training Log'!$A$10:$A$297,$B14,'Training Log'!$C$10:$C$297,F$12)=0,"—",_xlfn.MAXIFS('Training Log'!$I$10:$I$297,'Training Log'!$A$10:$A$297,$B14,'Training Log'!$C$10:$C$297,F$12))</f>
        <v/>
      </c>
      <c r="G14" s="53">
        <f>IF(_xlfn.MAXIFS('Training Log'!$I$10:$I$297,'Training Log'!$A$10:$A$297,$B14,'Training Log'!$C$10:$C$297,G$12)=0,"—",_xlfn.MAXIFS('Training Log'!$I$10:$I$297,'Training Log'!$A$10:$A$297,$B14,'Training Log'!$C$10:$C$297,G$12))</f>
        <v/>
      </c>
      <c r="H14" s="54">
        <f>SUMIF('Training Log'!$A$10:$A$297,$B14,'Training Log'!$H$10:$H$297)</f>
        <v/>
      </c>
      <c r="J14" s="55" t="n">
        <v>2</v>
      </c>
      <c r="K14" s="56">
        <f>IF(C14="—",NA(),C14)</f>
        <v/>
      </c>
      <c r="L14" s="56">
        <f>IF(D14="—",NA(),D14)</f>
        <v/>
      </c>
      <c r="M14" s="56">
        <f>IF(E14="—",NA(),E14)</f>
        <v/>
      </c>
      <c r="N14" s="56">
        <f>IF(F14="—",NA(),F14)</f>
        <v/>
      </c>
      <c r="O14" s="56">
        <f>IF(G14="—",NA(),G14)</f>
        <v/>
      </c>
      <c r="P14" s="57">
        <f>SUMIF('Training Log'!$A$10:$A$297,$J14,'Training Log'!$H$10:$H$297)</f>
        <v/>
      </c>
      <c r="Q14" s="55">
        <f>IF($P14&gt;0,$Q13+1,0)</f>
        <v/>
      </c>
    </row>
    <row r="15">
      <c r="B15" s="31" t="n">
        <v>3</v>
      </c>
      <c r="C15" s="53">
        <f>IF(_xlfn.MAXIFS('Training Log'!$I$10:$I$297,'Training Log'!$A$10:$A$297,$B15,'Training Log'!$C$10:$C$297,C$12)=0,"—",_xlfn.MAXIFS('Training Log'!$I$10:$I$297,'Training Log'!$A$10:$A$297,$B15,'Training Log'!$C$10:$C$297,C$12))</f>
        <v/>
      </c>
      <c r="D15" s="53">
        <f>IF(_xlfn.MAXIFS('Training Log'!$I$10:$I$297,'Training Log'!$A$10:$A$297,$B15,'Training Log'!$C$10:$C$297,D$12)=0,"—",_xlfn.MAXIFS('Training Log'!$I$10:$I$297,'Training Log'!$A$10:$A$297,$B15,'Training Log'!$C$10:$C$297,D$12))</f>
        <v/>
      </c>
      <c r="E15" s="53">
        <f>IF(_xlfn.MAXIFS('Training Log'!$I$10:$I$297,'Training Log'!$A$10:$A$297,$B15,'Training Log'!$C$10:$C$297,E$12)=0,"—",_xlfn.MAXIFS('Training Log'!$I$10:$I$297,'Training Log'!$A$10:$A$297,$B15,'Training Log'!$C$10:$C$297,E$12))</f>
        <v/>
      </c>
      <c r="F15" s="53">
        <f>IF(_xlfn.MAXIFS('Training Log'!$I$10:$I$297,'Training Log'!$A$10:$A$297,$B15,'Training Log'!$C$10:$C$297,F$12)=0,"—",_xlfn.MAXIFS('Training Log'!$I$10:$I$297,'Training Log'!$A$10:$A$297,$B15,'Training Log'!$C$10:$C$297,F$12))</f>
        <v/>
      </c>
      <c r="G15" s="53">
        <f>IF(_xlfn.MAXIFS('Training Log'!$I$10:$I$297,'Training Log'!$A$10:$A$297,$B15,'Training Log'!$C$10:$C$297,G$12)=0,"—",_xlfn.MAXIFS('Training Log'!$I$10:$I$297,'Training Log'!$A$10:$A$297,$B15,'Training Log'!$C$10:$C$297,G$12))</f>
        <v/>
      </c>
      <c r="H15" s="54">
        <f>SUMIF('Training Log'!$A$10:$A$297,$B15,'Training Log'!$H$10:$H$297)</f>
        <v/>
      </c>
      <c r="J15" s="55" t="n">
        <v>3</v>
      </c>
      <c r="K15" s="56">
        <f>IF(C15="—",NA(),C15)</f>
        <v/>
      </c>
      <c r="L15" s="56">
        <f>IF(D15="—",NA(),D15)</f>
        <v/>
      </c>
      <c r="M15" s="56">
        <f>IF(E15="—",NA(),E15)</f>
        <v/>
      </c>
      <c r="N15" s="56">
        <f>IF(F15="—",NA(),F15)</f>
        <v/>
      </c>
      <c r="O15" s="56">
        <f>IF(G15="—",NA(),G15)</f>
        <v/>
      </c>
      <c r="P15" s="57">
        <f>SUMIF('Training Log'!$A$10:$A$297,$J15,'Training Log'!$H$10:$H$297)</f>
        <v/>
      </c>
      <c r="Q15" s="55">
        <f>IF($P15&gt;0,$Q14+1,0)</f>
        <v/>
      </c>
    </row>
    <row r="16">
      <c r="B16" s="31" t="n">
        <v>4</v>
      </c>
      <c r="C16" s="53">
        <f>IF(_xlfn.MAXIFS('Training Log'!$I$10:$I$297,'Training Log'!$A$10:$A$297,$B16,'Training Log'!$C$10:$C$297,C$12)=0,"—",_xlfn.MAXIFS('Training Log'!$I$10:$I$297,'Training Log'!$A$10:$A$297,$B16,'Training Log'!$C$10:$C$297,C$12))</f>
        <v/>
      </c>
      <c r="D16" s="53">
        <f>IF(_xlfn.MAXIFS('Training Log'!$I$10:$I$297,'Training Log'!$A$10:$A$297,$B16,'Training Log'!$C$10:$C$297,D$12)=0,"—",_xlfn.MAXIFS('Training Log'!$I$10:$I$297,'Training Log'!$A$10:$A$297,$B16,'Training Log'!$C$10:$C$297,D$12))</f>
        <v/>
      </c>
      <c r="E16" s="53">
        <f>IF(_xlfn.MAXIFS('Training Log'!$I$10:$I$297,'Training Log'!$A$10:$A$297,$B16,'Training Log'!$C$10:$C$297,E$12)=0,"—",_xlfn.MAXIFS('Training Log'!$I$10:$I$297,'Training Log'!$A$10:$A$297,$B16,'Training Log'!$C$10:$C$297,E$12))</f>
        <v/>
      </c>
      <c r="F16" s="53">
        <f>IF(_xlfn.MAXIFS('Training Log'!$I$10:$I$297,'Training Log'!$A$10:$A$297,$B16,'Training Log'!$C$10:$C$297,F$12)=0,"—",_xlfn.MAXIFS('Training Log'!$I$10:$I$297,'Training Log'!$A$10:$A$297,$B16,'Training Log'!$C$10:$C$297,F$12))</f>
        <v/>
      </c>
      <c r="G16" s="53">
        <f>IF(_xlfn.MAXIFS('Training Log'!$I$10:$I$297,'Training Log'!$A$10:$A$297,$B16,'Training Log'!$C$10:$C$297,G$12)=0,"—",_xlfn.MAXIFS('Training Log'!$I$10:$I$297,'Training Log'!$A$10:$A$297,$B16,'Training Log'!$C$10:$C$297,G$12))</f>
        <v/>
      </c>
      <c r="H16" s="54">
        <f>SUMIF('Training Log'!$A$10:$A$297,$B16,'Training Log'!$H$10:$H$297)</f>
        <v/>
      </c>
      <c r="J16" s="55" t="n">
        <v>4</v>
      </c>
      <c r="K16" s="56">
        <f>IF(C16="—",NA(),C16)</f>
        <v/>
      </c>
      <c r="L16" s="56">
        <f>IF(D16="—",NA(),D16)</f>
        <v/>
      </c>
      <c r="M16" s="56">
        <f>IF(E16="—",NA(),E16)</f>
        <v/>
      </c>
      <c r="N16" s="56">
        <f>IF(F16="—",NA(),F16)</f>
        <v/>
      </c>
      <c r="O16" s="56">
        <f>IF(G16="—",NA(),G16)</f>
        <v/>
      </c>
      <c r="P16" s="57">
        <f>SUMIF('Training Log'!$A$10:$A$297,$J16,'Training Log'!$H$10:$H$297)</f>
        <v/>
      </c>
      <c r="Q16" s="55">
        <f>IF($P16&gt;0,$Q15+1,0)</f>
        <v/>
      </c>
    </row>
    <row r="17">
      <c r="B17" s="31" t="n">
        <v>5</v>
      </c>
      <c r="C17" s="53">
        <f>IF(_xlfn.MAXIFS('Training Log'!$I$10:$I$297,'Training Log'!$A$10:$A$297,$B17,'Training Log'!$C$10:$C$297,C$12)=0,"—",_xlfn.MAXIFS('Training Log'!$I$10:$I$297,'Training Log'!$A$10:$A$297,$B17,'Training Log'!$C$10:$C$297,C$12))</f>
        <v/>
      </c>
      <c r="D17" s="53">
        <f>IF(_xlfn.MAXIFS('Training Log'!$I$10:$I$297,'Training Log'!$A$10:$A$297,$B17,'Training Log'!$C$10:$C$297,D$12)=0,"—",_xlfn.MAXIFS('Training Log'!$I$10:$I$297,'Training Log'!$A$10:$A$297,$B17,'Training Log'!$C$10:$C$297,D$12))</f>
        <v/>
      </c>
      <c r="E17" s="53">
        <f>IF(_xlfn.MAXIFS('Training Log'!$I$10:$I$297,'Training Log'!$A$10:$A$297,$B17,'Training Log'!$C$10:$C$297,E$12)=0,"—",_xlfn.MAXIFS('Training Log'!$I$10:$I$297,'Training Log'!$A$10:$A$297,$B17,'Training Log'!$C$10:$C$297,E$12))</f>
        <v/>
      </c>
      <c r="F17" s="53">
        <f>IF(_xlfn.MAXIFS('Training Log'!$I$10:$I$297,'Training Log'!$A$10:$A$297,$B17,'Training Log'!$C$10:$C$297,F$12)=0,"—",_xlfn.MAXIFS('Training Log'!$I$10:$I$297,'Training Log'!$A$10:$A$297,$B17,'Training Log'!$C$10:$C$297,F$12))</f>
        <v/>
      </c>
      <c r="G17" s="53">
        <f>IF(_xlfn.MAXIFS('Training Log'!$I$10:$I$297,'Training Log'!$A$10:$A$297,$B17,'Training Log'!$C$10:$C$297,G$12)=0,"—",_xlfn.MAXIFS('Training Log'!$I$10:$I$297,'Training Log'!$A$10:$A$297,$B17,'Training Log'!$C$10:$C$297,G$12))</f>
        <v/>
      </c>
      <c r="H17" s="54">
        <f>SUMIF('Training Log'!$A$10:$A$297,$B17,'Training Log'!$H$10:$H$297)</f>
        <v/>
      </c>
      <c r="J17" s="55" t="n">
        <v>5</v>
      </c>
      <c r="K17" s="56">
        <f>IF(C17="—",NA(),C17)</f>
        <v/>
      </c>
      <c r="L17" s="56">
        <f>IF(D17="—",NA(),D17)</f>
        <v/>
      </c>
      <c r="M17" s="56">
        <f>IF(E17="—",NA(),E17)</f>
        <v/>
      </c>
      <c r="N17" s="56">
        <f>IF(F17="—",NA(),F17)</f>
        <v/>
      </c>
      <c r="O17" s="56">
        <f>IF(G17="—",NA(),G17)</f>
        <v/>
      </c>
      <c r="P17" s="57">
        <f>SUMIF('Training Log'!$A$10:$A$297,$J17,'Training Log'!$H$10:$H$297)</f>
        <v/>
      </c>
      <c r="Q17" s="55">
        <f>IF($P17&gt;0,$Q16+1,0)</f>
        <v/>
      </c>
    </row>
    <row r="18">
      <c r="B18" s="31" t="n">
        <v>6</v>
      </c>
      <c r="C18" s="53">
        <f>IF(_xlfn.MAXIFS('Training Log'!$I$10:$I$297,'Training Log'!$A$10:$A$297,$B18,'Training Log'!$C$10:$C$297,C$12)=0,"—",_xlfn.MAXIFS('Training Log'!$I$10:$I$297,'Training Log'!$A$10:$A$297,$B18,'Training Log'!$C$10:$C$297,C$12))</f>
        <v/>
      </c>
      <c r="D18" s="53">
        <f>IF(_xlfn.MAXIFS('Training Log'!$I$10:$I$297,'Training Log'!$A$10:$A$297,$B18,'Training Log'!$C$10:$C$297,D$12)=0,"—",_xlfn.MAXIFS('Training Log'!$I$10:$I$297,'Training Log'!$A$10:$A$297,$B18,'Training Log'!$C$10:$C$297,D$12))</f>
        <v/>
      </c>
      <c r="E18" s="53">
        <f>IF(_xlfn.MAXIFS('Training Log'!$I$10:$I$297,'Training Log'!$A$10:$A$297,$B18,'Training Log'!$C$10:$C$297,E$12)=0,"—",_xlfn.MAXIFS('Training Log'!$I$10:$I$297,'Training Log'!$A$10:$A$297,$B18,'Training Log'!$C$10:$C$297,E$12))</f>
        <v/>
      </c>
      <c r="F18" s="53">
        <f>IF(_xlfn.MAXIFS('Training Log'!$I$10:$I$297,'Training Log'!$A$10:$A$297,$B18,'Training Log'!$C$10:$C$297,F$12)=0,"—",_xlfn.MAXIFS('Training Log'!$I$10:$I$297,'Training Log'!$A$10:$A$297,$B18,'Training Log'!$C$10:$C$297,F$12))</f>
        <v/>
      </c>
      <c r="G18" s="53">
        <f>IF(_xlfn.MAXIFS('Training Log'!$I$10:$I$297,'Training Log'!$A$10:$A$297,$B18,'Training Log'!$C$10:$C$297,G$12)=0,"—",_xlfn.MAXIFS('Training Log'!$I$10:$I$297,'Training Log'!$A$10:$A$297,$B18,'Training Log'!$C$10:$C$297,G$12))</f>
        <v/>
      </c>
      <c r="H18" s="54">
        <f>SUMIF('Training Log'!$A$10:$A$297,$B18,'Training Log'!$H$10:$H$297)</f>
        <v/>
      </c>
      <c r="J18" s="55" t="n">
        <v>6</v>
      </c>
      <c r="K18" s="56">
        <f>IF(C18="—",NA(),C18)</f>
        <v/>
      </c>
      <c r="L18" s="56">
        <f>IF(D18="—",NA(),D18)</f>
        <v/>
      </c>
      <c r="M18" s="56">
        <f>IF(E18="—",NA(),E18)</f>
        <v/>
      </c>
      <c r="N18" s="56">
        <f>IF(F18="—",NA(),F18)</f>
        <v/>
      </c>
      <c r="O18" s="56">
        <f>IF(G18="—",NA(),G18)</f>
        <v/>
      </c>
      <c r="P18" s="57">
        <f>SUMIF('Training Log'!$A$10:$A$297,$J18,'Training Log'!$H$10:$H$297)</f>
        <v/>
      </c>
      <c r="Q18" s="55">
        <f>IF($P18&gt;0,$Q17+1,0)</f>
        <v/>
      </c>
    </row>
    <row r="19">
      <c r="B19" s="31" t="n">
        <v>7</v>
      </c>
      <c r="C19" s="53">
        <f>IF(_xlfn.MAXIFS('Training Log'!$I$10:$I$297,'Training Log'!$A$10:$A$297,$B19,'Training Log'!$C$10:$C$297,C$12)=0,"—",_xlfn.MAXIFS('Training Log'!$I$10:$I$297,'Training Log'!$A$10:$A$297,$B19,'Training Log'!$C$10:$C$297,C$12))</f>
        <v/>
      </c>
      <c r="D19" s="53">
        <f>IF(_xlfn.MAXIFS('Training Log'!$I$10:$I$297,'Training Log'!$A$10:$A$297,$B19,'Training Log'!$C$10:$C$297,D$12)=0,"—",_xlfn.MAXIFS('Training Log'!$I$10:$I$297,'Training Log'!$A$10:$A$297,$B19,'Training Log'!$C$10:$C$297,D$12))</f>
        <v/>
      </c>
      <c r="E19" s="53">
        <f>IF(_xlfn.MAXIFS('Training Log'!$I$10:$I$297,'Training Log'!$A$10:$A$297,$B19,'Training Log'!$C$10:$C$297,E$12)=0,"—",_xlfn.MAXIFS('Training Log'!$I$10:$I$297,'Training Log'!$A$10:$A$297,$B19,'Training Log'!$C$10:$C$297,E$12))</f>
        <v/>
      </c>
      <c r="F19" s="53">
        <f>IF(_xlfn.MAXIFS('Training Log'!$I$10:$I$297,'Training Log'!$A$10:$A$297,$B19,'Training Log'!$C$10:$C$297,F$12)=0,"—",_xlfn.MAXIFS('Training Log'!$I$10:$I$297,'Training Log'!$A$10:$A$297,$B19,'Training Log'!$C$10:$C$297,F$12))</f>
        <v/>
      </c>
      <c r="G19" s="53">
        <f>IF(_xlfn.MAXIFS('Training Log'!$I$10:$I$297,'Training Log'!$A$10:$A$297,$B19,'Training Log'!$C$10:$C$297,G$12)=0,"—",_xlfn.MAXIFS('Training Log'!$I$10:$I$297,'Training Log'!$A$10:$A$297,$B19,'Training Log'!$C$10:$C$297,G$12))</f>
        <v/>
      </c>
      <c r="H19" s="54">
        <f>SUMIF('Training Log'!$A$10:$A$297,$B19,'Training Log'!$H$10:$H$297)</f>
        <v/>
      </c>
      <c r="J19" s="55" t="n">
        <v>7</v>
      </c>
      <c r="K19" s="56">
        <f>IF(C19="—",NA(),C19)</f>
        <v/>
      </c>
      <c r="L19" s="56">
        <f>IF(D19="—",NA(),D19)</f>
        <v/>
      </c>
      <c r="M19" s="56">
        <f>IF(E19="—",NA(),E19)</f>
        <v/>
      </c>
      <c r="N19" s="56">
        <f>IF(F19="—",NA(),F19)</f>
        <v/>
      </c>
      <c r="O19" s="56">
        <f>IF(G19="—",NA(),G19)</f>
        <v/>
      </c>
      <c r="P19" s="57">
        <f>SUMIF('Training Log'!$A$10:$A$297,$J19,'Training Log'!$H$10:$H$297)</f>
        <v/>
      </c>
      <c r="Q19" s="55">
        <f>IF($P19&gt;0,$Q18+1,0)</f>
        <v/>
      </c>
    </row>
    <row r="20">
      <c r="B20" s="31" t="n">
        <v>8</v>
      </c>
      <c r="C20" s="53">
        <f>IF(_xlfn.MAXIFS('Training Log'!$I$10:$I$297,'Training Log'!$A$10:$A$297,$B20,'Training Log'!$C$10:$C$297,C$12)=0,"—",_xlfn.MAXIFS('Training Log'!$I$10:$I$297,'Training Log'!$A$10:$A$297,$B20,'Training Log'!$C$10:$C$297,C$12))</f>
        <v/>
      </c>
      <c r="D20" s="53">
        <f>IF(_xlfn.MAXIFS('Training Log'!$I$10:$I$297,'Training Log'!$A$10:$A$297,$B20,'Training Log'!$C$10:$C$297,D$12)=0,"—",_xlfn.MAXIFS('Training Log'!$I$10:$I$297,'Training Log'!$A$10:$A$297,$B20,'Training Log'!$C$10:$C$297,D$12))</f>
        <v/>
      </c>
      <c r="E20" s="53">
        <f>IF(_xlfn.MAXIFS('Training Log'!$I$10:$I$297,'Training Log'!$A$10:$A$297,$B20,'Training Log'!$C$10:$C$297,E$12)=0,"—",_xlfn.MAXIFS('Training Log'!$I$10:$I$297,'Training Log'!$A$10:$A$297,$B20,'Training Log'!$C$10:$C$297,E$12))</f>
        <v/>
      </c>
      <c r="F20" s="53">
        <f>IF(_xlfn.MAXIFS('Training Log'!$I$10:$I$297,'Training Log'!$A$10:$A$297,$B20,'Training Log'!$C$10:$C$297,F$12)=0,"—",_xlfn.MAXIFS('Training Log'!$I$10:$I$297,'Training Log'!$A$10:$A$297,$B20,'Training Log'!$C$10:$C$297,F$12))</f>
        <v/>
      </c>
      <c r="G20" s="53">
        <f>IF(_xlfn.MAXIFS('Training Log'!$I$10:$I$297,'Training Log'!$A$10:$A$297,$B20,'Training Log'!$C$10:$C$297,G$12)=0,"—",_xlfn.MAXIFS('Training Log'!$I$10:$I$297,'Training Log'!$A$10:$A$297,$B20,'Training Log'!$C$10:$C$297,G$12))</f>
        <v/>
      </c>
      <c r="H20" s="54">
        <f>SUMIF('Training Log'!$A$10:$A$297,$B20,'Training Log'!$H$10:$H$297)</f>
        <v/>
      </c>
      <c r="J20" s="55" t="n">
        <v>8</v>
      </c>
      <c r="K20" s="56">
        <f>IF(C20="—",NA(),C20)</f>
        <v/>
      </c>
      <c r="L20" s="56">
        <f>IF(D20="—",NA(),D20)</f>
        <v/>
      </c>
      <c r="M20" s="56">
        <f>IF(E20="—",NA(),E20)</f>
        <v/>
      </c>
      <c r="N20" s="56">
        <f>IF(F20="—",NA(),F20)</f>
        <v/>
      </c>
      <c r="O20" s="56">
        <f>IF(G20="—",NA(),G20)</f>
        <v/>
      </c>
      <c r="P20" s="57">
        <f>SUMIF('Training Log'!$A$10:$A$297,$J20,'Training Log'!$H$10:$H$297)</f>
        <v/>
      </c>
      <c r="Q20" s="55">
        <f>IF($P20&gt;0,$Q19+1,0)</f>
        <v/>
      </c>
    </row>
    <row r="21">
      <c r="B21" s="31" t="n">
        <v>9</v>
      </c>
      <c r="C21" s="53">
        <f>IF(_xlfn.MAXIFS('Training Log'!$I$10:$I$297,'Training Log'!$A$10:$A$297,$B21,'Training Log'!$C$10:$C$297,C$12)=0,"—",_xlfn.MAXIFS('Training Log'!$I$10:$I$297,'Training Log'!$A$10:$A$297,$B21,'Training Log'!$C$10:$C$297,C$12))</f>
        <v/>
      </c>
      <c r="D21" s="53">
        <f>IF(_xlfn.MAXIFS('Training Log'!$I$10:$I$297,'Training Log'!$A$10:$A$297,$B21,'Training Log'!$C$10:$C$297,D$12)=0,"—",_xlfn.MAXIFS('Training Log'!$I$10:$I$297,'Training Log'!$A$10:$A$297,$B21,'Training Log'!$C$10:$C$297,D$12))</f>
        <v/>
      </c>
      <c r="E21" s="53">
        <f>IF(_xlfn.MAXIFS('Training Log'!$I$10:$I$297,'Training Log'!$A$10:$A$297,$B21,'Training Log'!$C$10:$C$297,E$12)=0,"—",_xlfn.MAXIFS('Training Log'!$I$10:$I$297,'Training Log'!$A$10:$A$297,$B21,'Training Log'!$C$10:$C$297,E$12))</f>
        <v/>
      </c>
      <c r="F21" s="53">
        <f>IF(_xlfn.MAXIFS('Training Log'!$I$10:$I$297,'Training Log'!$A$10:$A$297,$B21,'Training Log'!$C$10:$C$297,F$12)=0,"—",_xlfn.MAXIFS('Training Log'!$I$10:$I$297,'Training Log'!$A$10:$A$297,$B21,'Training Log'!$C$10:$C$297,F$12))</f>
        <v/>
      </c>
      <c r="G21" s="53">
        <f>IF(_xlfn.MAXIFS('Training Log'!$I$10:$I$297,'Training Log'!$A$10:$A$297,$B21,'Training Log'!$C$10:$C$297,G$12)=0,"—",_xlfn.MAXIFS('Training Log'!$I$10:$I$297,'Training Log'!$A$10:$A$297,$B21,'Training Log'!$C$10:$C$297,G$12))</f>
        <v/>
      </c>
      <c r="H21" s="54">
        <f>SUMIF('Training Log'!$A$10:$A$297,$B21,'Training Log'!$H$10:$H$297)</f>
        <v/>
      </c>
      <c r="J21" s="55" t="n">
        <v>9</v>
      </c>
      <c r="K21" s="56">
        <f>IF(C21="—",NA(),C21)</f>
        <v/>
      </c>
      <c r="L21" s="56">
        <f>IF(D21="—",NA(),D21)</f>
        <v/>
      </c>
      <c r="M21" s="56">
        <f>IF(E21="—",NA(),E21)</f>
        <v/>
      </c>
      <c r="N21" s="56">
        <f>IF(F21="—",NA(),F21)</f>
        <v/>
      </c>
      <c r="O21" s="56">
        <f>IF(G21="—",NA(),G21)</f>
        <v/>
      </c>
      <c r="P21" s="57">
        <f>SUMIF('Training Log'!$A$10:$A$297,$J21,'Training Log'!$H$10:$H$297)</f>
        <v/>
      </c>
      <c r="Q21" s="55">
        <f>IF($P21&gt;0,$Q20+1,0)</f>
        <v/>
      </c>
    </row>
    <row r="22">
      <c r="B22" s="31" t="n">
        <v>10</v>
      </c>
      <c r="C22" s="53">
        <f>IF(_xlfn.MAXIFS('Training Log'!$I$10:$I$297,'Training Log'!$A$10:$A$297,$B22,'Training Log'!$C$10:$C$297,C$12)=0,"—",_xlfn.MAXIFS('Training Log'!$I$10:$I$297,'Training Log'!$A$10:$A$297,$B22,'Training Log'!$C$10:$C$297,C$12))</f>
        <v/>
      </c>
      <c r="D22" s="53">
        <f>IF(_xlfn.MAXIFS('Training Log'!$I$10:$I$297,'Training Log'!$A$10:$A$297,$B22,'Training Log'!$C$10:$C$297,D$12)=0,"—",_xlfn.MAXIFS('Training Log'!$I$10:$I$297,'Training Log'!$A$10:$A$297,$B22,'Training Log'!$C$10:$C$297,D$12))</f>
        <v/>
      </c>
      <c r="E22" s="53">
        <f>IF(_xlfn.MAXIFS('Training Log'!$I$10:$I$297,'Training Log'!$A$10:$A$297,$B22,'Training Log'!$C$10:$C$297,E$12)=0,"—",_xlfn.MAXIFS('Training Log'!$I$10:$I$297,'Training Log'!$A$10:$A$297,$B22,'Training Log'!$C$10:$C$297,E$12))</f>
        <v/>
      </c>
      <c r="F22" s="53">
        <f>IF(_xlfn.MAXIFS('Training Log'!$I$10:$I$297,'Training Log'!$A$10:$A$297,$B22,'Training Log'!$C$10:$C$297,F$12)=0,"—",_xlfn.MAXIFS('Training Log'!$I$10:$I$297,'Training Log'!$A$10:$A$297,$B22,'Training Log'!$C$10:$C$297,F$12))</f>
        <v/>
      </c>
      <c r="G22" s="53">
        <f>IF(_xlfn.MAXIFS('Training Log'!$I$10:$I$297,'Training Log'!$A$10:$A$297,$B22,'Training Log'!$C$10:$C$297,G$12)=0,"—",_xlfn.MAXIFS('Training Log'!$I$10:$I$297,'Training Log'!$A$10:$A$297,$B22,'Training Log'!$C$10:$C$297,G$12))</f>
        <v/>
      </c>
      <c r="H22" s="54">
        <f>SUMIF('Training Log'!$A$10:$A$297,$B22,'Training Log'!$H$10:$H$297)</f>
        <v/>
      </c>
      <c r="J22" s="55" t="n">
        <v>10</v>
      </c>
      <c r="K22" s="56">
        <f>IF(C22="—",NA(),C22)</f>
        <v/>
      </c>
      <c r="L22" s="56">
        <f>IF(D22="—",NA(),D22)</f>
        <v/>
      </c>
      <c r="M22" s="56">
        <f>IF(E22="—",NA(),E22)</f>
        <v/>
      </c>
      <c r="N22" s="56">
        <f>IF(F22="—",NA(),F22)</f>
        <v/>
      </c>
      <c r="O22" s="56">
        <f>IF(G22="—",NA(),G22)</f>
        <v/>
      </c>
      <c r="P22" s="57">
        <f>SUMIF('Training Log'!$A$10:$A$297,$J22,'Training Log'!$H$10:$H$297)</f>
        <v/>
      </c>
      <c r="Q22" s="55">
        <f>IF($P22&gt;0,$Q21+1,0)</f>
        <v/>
      </c>
    </row>
    <row r="23">
      <c r="B23" s="31" t="n">
        <v>11</v>
      </c>
      <c r="C23" s="53">
        <f>IF(_xlfn.MAXIFS('Training Log'!$I$10:$I$297,'Training Log'!$A$10:$A$297,$B23,'Training Log'!$C$10:$C$297,C$12)=0,"—",_xlfn.MAXIFS('Training Log'!$I$10:$I$297,'Training Log'!$A$10:$A$297,$B23,'Training Log'!$C$10:$C$297,C$12))</f>
        <v/>
      </c>
      <c r="D23" s="53">
        <f>IF(_xlfn.MAXIFS('Training Log'!$I$10:$I$297,'Training Log'!$A$10:$A$297,$B23,'Training Log'!$C$10:$C$297,D$12)=0,"—",_xlfn.MAXIFS('Training Log'!$I$10:$I$297,'Training Log'!$A$10:$A$297,$B23,'Training Log'!$C$10:$C$297,D$12))</f>
        <v/>
      </c>
      <c r="E23" s="53">
        <f>IF(_xlfn.MAXIFS('Training Log'!$I$10:$I$297,'Training Log'!$A$10:$A$297,$B23,'Training Log'!$C$10:$C$297,E$12)=0,"—",_xlfn.MAXIFS('Training Log'!$I$10:$I$297,'Training Log'!$A$10:$A$297,$B23,'Training Log'!$C$10:$C$297,E$12))</f>
        <v/>
      </c>
      <c r="F23" s="53">
        <f>IF(_xlfn.MAXIFS('Training Log'!$I$10:$I$297,'Training Log'!$A$10:$A$297,$B23,'Training Log'!$C$10:$C$297,F$12)=0,"—",_xlfn.MAXIFS('Training Log'!$I$10:$I$297,'Training Log'!$A$10:$A$297,$B23,'Training Log'!$C$10:$C$297,F$12))</f>
        <v/>
      </c>
      <c r="G23" s="53">
        <f>IF(_xlfn.MAXIFS('Training Log'!$I$10:$I$297,'Training Log'!$A$10:$A$297,$B23,'Training Log'!$C$10:$C$297,G$12)=0,"—",_xlfn.MAXIFS('Training Log'!$I$10:$I$297,'Training Log'!$A$10:$A$297,$B23,'Training Log'!$C$10:$C$297,G$12))</f>
        <v/>
      </c>
      <c r="H23" s="54">
        <f>SUMIF('Training Log'!$A$10:$A$297,$B23,'Training Log'!$H$10:$H$297)</f>
        <v/>
      </c>
      <c r="J23" s="55" t="n">
        <v>11</v>
      </c>
      <c r="K23" s="56">
        <f>IF(C23="—",NA(),C23)</f>
        <v/>
      </c>
      <c r="L23" s="56">
        <f>IF(D23="—",NA(),D23)</f>
        <v/>
      </c>
      <c r="M23" s="56">
        <f>IF(E23="—",NA(),E23)</f>
        <v/>
      </c>
      <c r="N23" s="56">
        <f>IF(F23="—",NA(),F23)</f>
        <v/>
      </c>
      <c r="O23" s="56">
        <f>IF(G23="—",NA(),G23)</f>
        <v/>
      </c>
      <c r="P23" s="57">
        <f>SUMIF('Training Log'!$A$10:$A$297,$J23,'Training Log'!$H$10:$H$297)</f>
        <v/>
      </c>
      <c r="Q23" s="55">
        <f>IF($P23&gt;0,$Q22+1,0)</f>
        <v/>
      </c>
    </row>
    <row r="24">
      <c r="B24" s="31" t="n">
        <v>12</v>
      </c>
      <c r="C24" s="53">
        <f>IF(_xlfn.MAXIFS('Training Log'!$I$10:$I$297,'Training Log'!$A$10:$A$297,$B24,'Training Log'!$C$10:$C$297,C$12)=0,"—",_xlfn.MAXIFS('Training Log'!$I$10:$I$297,'Training Log'!$A$10:$A$297,$B24,'Training Log'!$C$10:$C$297,C$12))</f>
        <v/>
      </c>
      <c r="D24" s="53">
        <f>IF(_xlfn.MAXIFS('Training Log'!$I$10:$I$297,'Training Log'!$A$10:$A$297,$B24,'Training Log'!$C$10:$C$297,D$12)=0,"—",_xlfn.MAXIFS('Training Log'!$I$10:$I$297,'Training Log'!$A$10:$A$297,$B24,'Training Log'!$C$10:$C$297,D$12))</f>
        <v/>
      </c>
      <c r="E24" s="53">
        <f>IF(_xlfn.MAXIFS('Training Log'!$I$10:$I$297,'Training Log'!$A$10:$A$297,$B24,'Training Log'!$C$10:$C$297,E$12)=0,"—",_xlfn.MAXIFS('Training Log'!$I$10:$I$297,'Training Log'!$A$10:$A$297,$B24,'Training Log'!$C$10:$C$297,E$12))</f>
        <v/>
      </c>
      <c r="F24" s="53">
        <f>IF(_xlfn.MAXIFS('Training Log'!$I$10:$I$297,'Training Log'!$A$10:$A$297,$B24,'Training Log'!$C$10:$C$297,F$12)=0,"—",_xlfn.MAXIFS('Training Log'!$I$10:$I$297,'Training Log'!$A$10:$A$297,$B24,'Training Log'!$C$10:$C$297,F$12))</f>
        <v/>
      </c>
      <c r="G24" s="53">
        <f>IF(_xlfn.MAXIFS('Training Log'!$I$10:$I$297,'Training Log'!$A$10:$A$297,$B24,'Training Log'!$C$10:$C$297,G$12)=0,"—",_xlfn.MAXIFS('Training Log'!$I$10:$I$297,'Training Log'!$A$10:$A$297,$B24,'Training Log'!$C$10:$C$297,G$12))</f>
        <v/>
      </c>
      <c r="H24" s="54">
        <f>SUMIF('Training Log'!$A$10:$A$297,$B24,'Training Log'!$H$10:$H$297)</f>
        <v/>
      </c>
      <c r="J24" s="55" t="n">
        <v>12</v>
      </c>
      <c r="K24" s="56">
        <f>IF(C24="—",NA(),C24)</f>
        <v/>
      </c>
      <c r="L24" s="56">
        <f>IF(D24="—",NA(),D24)</f>
        <v/>
      </c>
      <c r="M24" s="56">
        <f>IF(E24="—",NA(),E24)</f>
        <v/>
      </c>
      <c r="N24" s="56">
        <f>IF(F24="—",NA(),F24)</f>
        <v/>
      </c>
      <c r="O24" s="56">
        <f>IF(G24="—",NA(),G24)</f>
        <v/>
      </c>
      <c r="P24" s="57">
        <f>SUMIF('Training Log'!$A$10:$A$297,$J24,'Training Log'!$H$10:$H$297)</f>
        <v/>
      </c>
      <c r="Q24" s="55">
        <f>IF($P24&gt;0,$Q23+1,0)</f>
        <v/>
      </c>
    </row>
  </sheetData>
  <mergeCells count="4">
    <mergeCell ref="B6:C6"/>
    <mergeCell ref="B5:C5"/>
    <mergeCell ref="F6:G6"/>
    <mergeCell ref="F5:G5"/>
  </mergeCells>
  <conditionalFormatting sqref="K13:O24">
    <cfRule type="expression" priority="1" dxfId="1">
      <formula>ISNA(K13)</formula>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4A6FA5"/>
    <outlinePr summaryBelow="1" summaryRight="1"/>
    <pageSetUpPr/>
  </sheetPr>
  <dimension ref="B2:I20"/>
  <sheetViews>
    <sheetView showGridLines="0" workbookViewId="0">
      <selection activeCell="A1" sqref="A1"/>
    </sheetView>
  </sheetViews>
  <sheetFormatPr baseColWidth="8" defaultRowHeight="15"/>
  <cols>
    <col width="2.5" customWidth="1" min="1" max="1"/>
    <col width="26" customWidth="1" min="2" max="2"/>
    <col width="14" customWidth="1" min="3" max="3"/>
    <col width="3" customWidth="1" min="4" max="4"/>
    <col width="12" customWidth="1" min="5" max="5"/>
    <col width="14" customWidth="1" min="6" max="6"/>
    <col width="3" customWidth="1" min="7" max="7"/>
    <col width="12" customWidth="1" min="8" max="8"/>
    <col width="14" customWidth="1" min="9" max="9"/>
  </cols>
  <sheetData>
    <row r="2" ht="26" customHeight="1">
      <c r="B2" s="9" t="inlineStr">
        <is>
          <t>1RM Calculator</t>
        </is>
      </c>
    </row>
    <row r="3">
      <c r="B3" s="10" t="inlineStr">
        <is>
          <t>Type a weight and the reps you lifted it for. Two estimates, plus working-weight tables.</t>
        </is>
      </c>
    </row>
    <row r="5">
      <c r="B5" s="11">
        <f>"Weight lifted ("&amp;Units&amp;")"</f>
        <v/>
      </c>
      <c r="C5" s="18" t="n"/>
      <c r="E5" s="15" t="inlineStr">
        <is>
          <t>% of 1RM</t>
        </is>
      </c>
      <c r="F5" s="15">
        <f>"Weight ("&amp;Units&amp;")"</f>
        <v/>
      </c>
      <c r="H5" s="15" t="inlineStr">
        <is>
          <t>Rep max</t>
        </is>
      </c>
      <c r="I5" s="15">
        <f>"Weight ("&amp;Units&amp;")"</f>
        <v/>
      </c>
    </row>
    <row r="6">
      <c r="B6" s="11" t="inlineStr">
        <is>
          <t>Reps performed (1–15)</t>
        </is>
      </c>
      <c r="C6" s="18" t="n"/>
      <c r="E6" s="58" t="n">
        <v>0.95</v>
      </c>
      <c r="F6" s="59">
        <f>IF($C$8="","",ROUND($C$8*$E6/RoundTo,0)*RoundTo)</f>
        <v/>
      </c>
      <c r="H6" s="19" t="inlineStr">
        <is>
          <t>1RM</t>
        </is>
      </c>
      <c r="I6" s="59">
        <f>IF($C$8="","",ROUND($C$8/(1+1/30)/RoundTo,0)*RoundTo)</f>
        <v/>
      </c>
    </row>
    <row r="7">
      <c r="E7" s="58" t="n">
        <v>0.9</v>
      </c>
      <c r="F7" s="59">
        <f>IF($C$8="","",ROUND($C$8*$E7/RoundTo,0)*RoundTo)</f>
        <v/>
      </c>
      <c r="H7" s="19" t="inlineStr">
        <is>
          <t>2RM</t>
        </is>
      </c>
      <c r="I7" s="59">
        <f>IF($C$8="","",ROUND($C$8/(1+2/30)/RoundTo,0)*RoundTo)</f>
        <v/>
      </c>
    </row>
    <row r="8">
      <c r="B8" s="60" t="inlineStr">
        <is>
          <t>Estimated 1RM — Epley</t>
        </is>
      </c>
      <c r="C8" s="61">
        <f>IF(OR($C$5="",$C$6=""),"",ROUND($C$5*(1+$C$6/30),1))</f>
        <v/>
      </c>
      <c r="E8" s="58" t="n">
        <v>0.85</v>
      </c>
      <c r="F8" s="59">
        <f>IF($C$8="","",ROUND($C$8*$E8/RoundTo,0)*RoundTo)</f>
        <v/>
      </c>
      <c r="H8" s="19" t="inlineStr">
        <is>
          <t>3RM</t>
        </is>
      </c>
      <c r="I8" s="59">
        <f>IF($C$8="","",ROUND($C$8/(1+3/30)/RoundTo,0)*RoundTo)</f>
        <v/>
      </c>
    </row>
    <row r="9">
      <c r="B9" s="21" t="inlineStr">
        <is>
          <t>weight × (1 + reps ÷ 30) — the same formula the Training Log runs</t>
        </is>
      </c>
      <c r="E9" s="58" t="n">
        <v>0.8</v>
      </c>
      <c r="F9" s="59">
        <f>IF($C$8="","",ROUND($C$8*$E9/RoundTo,0)*RoundTo)</f>
        <v/>
      </c>
      <c r="H9" s="19" t="inlineStr">
        <is>
          <t>4RM</t>
        </is>
      </c>
      <c r="I9" s="59">
        <f>IF($C$8="","",ROUND($C$8/(1+4/30)/RoundTo,0)*RoundTo)</f>
        <v/>
      </c>
    </row>
    <row r="10">
      <c r="E10" s="58" t="n">
        <v>0.75</v>
      </c>
      <c r="F10" s="59">
        <f>IF($C$8="","",ROUND($C$8*$E10/RoundTo,0)*RoundTo)</f>
        <v/>
      </c>
      <c r="H10" s="19" t="inlineStr">
        <is>
          <t>5RM</t>
        </is>
      </c>
      <c r="I10" s="59">
        <f>IF($C$8="","",ROUND($C$8/(1+5/30)/RoundTo,0)*RoundTo)</f>
        <v/>
      </c>
    </row>
    <row r="11">
      <c r="B11" s="60" t="inlineStr">
        <is>
          <t>Estimated 1RM — Brzycki</t>
        </is>
      </c>
      <c r="C11" s="61">
        <f>IF(OR($C$5="",$C$6=""),"",IF($C$6&gt;=36,"",ROUND($C$5*36/(37-$C$6),1)))</f>
        <v/>
      </c>
      <c r="E11" s="58" t="n">
        <v>0.7</v>
      </c>
      <c r="F11" s="59">
        <f>IF($C$8="","",ROUND($C$8*$E11/RoundTo,0)*RoundTo)</f>
        <v/>
      </c>
      <c r="H11" s="19" t="inlineStr">
        <is>
          <t>6RM</t>
        </is>
      </c>
      <c r="I11" s="59">
        <f>IF($C$8="","",ROUND($C$8/(1+6/30)/RoundTo,0)*RoundTo)</f>
        <v/>
      </c>
    </row>
    <row r="12">
      <c r="B12" s="21" t="inlineStr">
        <is>
          <t>weight × 36 ÷ (37 − reps) — a second opinion; the two agree closely under 10 reps</t>
        </is>
      </c>
      <c r="E12" s="58" t="n">
        <v>0.65</v>
      </c>
      <c r="F12" s="59">
        <f>IF($C$8="","",ROUND($C$8*$E12/RoundTo,0)*RoundTo)</f>
        <v/>
      </c>
      <c r="H12" s="19" t="inlineStr">
        <is>
          <t>7RM</t>
        </is>
      </c>
      <c r="I12" s="59">
        <f>IF($C$8="","",ROUND($C$8/(1+7/30)/RoundTo,0)*RoundTo)</f>
        <v/>
      </c>
    </row>
    <row r="13">
      <c r="E13" s="58" t="n">
        <v>0.6</v>
      </c>
      <c r="F13" s="59">
        <f>IF($C$8="","",ROUND($C$8*$E13/RoundTo,0)*RoundTo)</f>
        <v/>
      </c>
      <c r="H13" s="19" t="inlineStr">
        <is>
          <t>8RM</t>
        </is>
      </c>
      <c r="I13" s="59">
        <f>IF($C$8="","",ROUND($C$8/(1+8/30)/RoundTo,0)*RoundTo)</f>
        <v/>
      </c>
    </row>
    <row r="14">
      <c r="E14" s="58" t="n">
        <v>0.55</v>
      </c>
      <c r="F14" s="59">
        <f>IF($C$8="","",ROUND($C$8*$E14/RoundTo,0)*RoundTo)</f>
        <v/>
      </c>
      <c r="H14" s="19" t="inlineStr">
        <is>
          <t>9RM</t>
        </is>
      </c>
      <c r="I14" s="59">
        <f>IF($C$8="","",ROUND($C$8/(1+9/30)/RoundTo,0)*RoundTo)</f>
        <v/>
      </c>
    </row>
    <row r="15">
      <c r="E15" s="58" t="n">
        <v>0.5</v>
      </c>
      <c r="F15" s="59">
        <f>IF($C$8="","",ROUND($C$8*$E15/RoundTo,0)*RoundTo)</f>
        <v/>
      </c>
      <c r="H15" s="19" t="inlineStr">
        <is>
          <t>10RM</t>
        </is>
      </c>
      <c r="I15" s="59">
        <f>IF($C$8="","",ROUND($C$8/(1+10/30)/RoundTo,0)*RoundTo)</f>
        <v/>
      </c>
    </row>
    <row r="17" ht="26" customHeight="1">
      <c r="B17" s="20" t="inlineStr">
        <is>
          <t>Both formulas are estimates, and both drift as reps climb — past ~10 reps, treat the number as a compass, not a measurement.</t>
        </is>
      </c>
    </row>
    <row r="18">
      <c r="B18" s="21" t="inlineStr">
        <is>
          <t>Working weights round to real plates — nearest 5 lb or 2.5 kg, following the Setup tab's units cell.</t>
        </is>
      </c>
    </row>
    <row r="20">
      <c r="B20" s="62" t="inlineStr">
        <is>
          <t>Original AtlasForm design. For personal use only. © 2026 AtlasForm.</t>
        </is>
      </c>
    </row>
  </sheetData>
  <mergeCells count="2">
    <mergeCell ref="B18:I18"/>
    <mergeCell ref="B17:I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AtlasForm</dc:creator>
  <dc:title>Progressive Overload Workout Spreadsheet</dc:title>
  <dcterms:created xsi:type="dcterms:W3CDTF">2026-07-17T08:13:29Z</dcterms:created>
  <dcterms:modified xsi:type="dcterms:W3CDTF">2026-07-17T08:13:29Z</dcterms:modified>
</cp:coreProperties>
</file>